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72ea530eb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页 START" sheetId="1" r:id="R9d9153c7d6d348f2"/>
    <x:sheet xmlns:r="http://schemas.openxmlformats.org/officeDocument/2006/relationships" name="总资产 MASTER" sheetId="2" r:id="Rc9f0daece7e1484f"/>
    <x:sheet xmlns:r="http://schemas.openxmlformats.org/officeDocument/2006/relationships" name="关卡总览 LEVELS" sheetId="3" r:id="Rec6d0e5a55e24b6d"/>
    <x:sheet xmlns:r="http://schemas.openxmlformats.org/officeDocument/2006/relationships" name="色彩脚本 COLOR" sheetId="4" r:id="R6fbf4cf0197b4320"/>
    <x:sheet xmlns:r="http://schemas.openxmlformats.org/officeDocument/2006/relationships" name="里程碑 MILESTONES" sheetId="5" r:id="Rf841c86cc35e4ebb"/>
    <x:sheet xmlns:r="http://schemas.openxmlformats.org/officeDocument/2006/relationships" name="规格与命名 SPECS" sheetId="6" r:id="R04e9401a03974c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%"/>
  </x:numFmts>
  <x:fonts count="30">
    <x:font>
      <x:sz val="11"/>
      <x:name val="Carlito"/>
    </x:font>
    <x:font>
      <x:b/>
      <x:sz val="10"/>
      <x:color rgb="FFFFFFFF"/>
      <x:name val="Carlito"/>
    </x:font>
    <x:font>
      <x:sz val="9"/>
      <x:color rgb="FF151A23"/>
      <x:name val="Carlito"/>
    </x:font>
    <x:font>
      <x:b/>
      <x:sz val="22"/>
      <x:color rgb="FFFFFFFF"/>
      <x:name val="Carlito"/>
    </x:font>
    <x:font>
      <x:i/>
      <x:sz val="10"/>
      <x:color rgb="FFDCE6F5"/>
      <x:name val="Carlito"/>
    </x:font>
    <x:font>
      <x:b/>
      <x:sz val="9"/>
      <x:color rgb="FF4B5A73"/>
      <x:name val="Carlito"/>
    </x:font>
    <x:font>
      <x:b/>
      <x:sz val="20"/>
      <x:color rgb="FF151A23"/>
      <x:name val="Carlito"/>
    </x:font>
    <x:font>
      <x:b/>
      <x:sz val="12"/>
      <x:color rgb="FF151A23"/>
      <x:name val="Carlito"/>
    </x:font>
    <x:font>
      <x:b/>
      <x:sz val="14"/>
      <x:color rgb="FFFFFFFF"/>
      <x:name val="Carlito"/>
    </x:font>
    <x:font>
      <x:b/>
      <x:sz val="11"/>
      <x:color rgb="FF1F2A44"/>
      <x:name val="Carlito"/>
    </x:font>
    <x:font>
      <x:b/>
      <x:sz val="12"/>
      <x:color rgb="FFFFFFFF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4"/>
      <x:color rgb="FF1F2A44"/>
      <x:name val="Carlito"/>
    </x:font>
    <x:font>
      <x:b/>
      <x:sz val="11"/>
      <x:color rgb="FF151A23"/>
      <x:name val="Carlito"/>
    </x:font>
    <x:font>
      <x:b/>
      <x:sz val="22"/>
      <x:color rgb="FFFFFFFF"/>
      <x:name val="Aptos"/>
    </x:font>
    <x:font>
      <x:i/>
      <x:sz val="10"/>
      <x:color rgb="FFDCE6F5"/>
      <x:name val="Aptos"/>
    </x:font>
    <x:font>
      <x:sz val="11"/>
      <x:name val="Aptos"/>
    </x:font>
    <x:font>
      <x:b/>
      <x:sz val="9"/>
      <x:color rgb="FF4B5A73"/>
      <x:name val="Aptos"/>
    </x:font>
    <x:font>
      <x:b/>
      <x:sz val="20"/>
      <x:color rgb="FF151A23"/>
      <x:name val="Aptos"/>
    </x:font>
    <x:font>
      <x:b/>
      <x:sz val="12"/>
      <x:color rgb="FF151A23"/>
      <x:name val="Aptos"/>
    </x:font>
    <x:font>
      <x:b/>
      <x:sz val="14"/>
      <x:color rgb="FFFFFFFF"/>
      <x:name val="Aptos"/>
    </x:font>
    <x:font>
      <x:b/>
      <x:sz val="11"/>
      <x:color rgb="FF1F2A44"/>
      <x:name val="Aptos"/>
    </x:font>
    <x:font>
      <x:b/>
      <x:sz val="12"/>
      <x:color rgb="FFFFFFFF"/>
      <x:name val="Aptos"/>
    </x:font>
    <x:font>
      <x:b/>
      <x:sz val="20"/>
      <x:color rgb="FFFFFFFF"/>
      <x:name val="Aptos"/>
    </x:font>
    <x:font>
      <x:b/>
      <x:sz val="11"/>
      <x:color rgb="FFFFFFFF"/>
      <x:name val="Aptos"/>
    </x:font>
    <x:font>
      <x:b/>
      <x:sz val="14"/>
      <x:color rgb="FF1F2A44"/>
      <x:name val="Aptos"/>
    </x:font>
    <x:font>
      <x:b/>
      <x:sz val="11"/>
      <x:color rgb="FF151A23"/>
      <x:name val="Aptos"/>
    </x:font>
    <x:font>
      <x:b/>
      <x:sz val="10"/>
      <x:color rgb="FFFFFFFF"/>
      <x:name val="Aptos"/>
    </x:font>
    <x:font>
      <x:sz val="9"/>
      <x:color rgb="FF151A23"/>
      <x:name val="Aptos"/>
    </x:font>
  </x:fonts>
  <x:fills count="51">
    <x:fill>
      <x:patternFill patternType="none"/>
    </x:fill>
    <x:fill>
      <x:patternFill patternType="gray125"/>
    </x:fill>
    <x:fill>
      <x:patternFill patternType="solid">
        <x:fgColor rgb="FF151A23"/>
      </x:patternFill>
    </x:fill>
    <x:fill>
      <x:patternFill patternType="solid">
        <x:fgColor rgb="FFF8FAFC"/>
      </x:patternFill>
    </x:fill>
    <x:fill>
      <x:patternFill patternType="solid">
        <x:fgColor rgb="FF1F2A44"/>
      </x:patternFill>
    </x:fill>
    <x:fill>
      <x:patternFill patternType="solid">
        <x:fgColor rgb="FFFFF9EE"/>
      </x:patternFill>
    </x:fill>
    <x:fill>
      <x:patternFill patternType="solid">
        <x:fgColor rgb="FFF1C75B"/>
      </x:patternFill>
    </x:fill>
    <x:fill>
      <x:patternFill patternType="solid">
        <x:fgColor rgb="FFE9EDF4"/>
      </x:patternFill>
    </x:fill>
    <x:fill>
      <x:patternFill patternType="solid">
        <x:fgColor rgb="FF65D6CE"/>
      </x:patternFill>
    </x:fill>
    <x:fill>
      <x:patternFill patternType="solid">
        <x:fgColor rgb="FFEF806A"/>
      </x:patternFill>
    </x:fill>
    <x:fill>
      <x:patternFill patternType="solid">
        <x:fgColor rgb="FFF2F4F8"/>
      </x:patternFill>
    </x:fill>
    <x:fill>
      <x:patternFill patternType="solid">
        <x:fgColor rgb="FF222B34"/>
      </x:patternFill>
    </x:fill>
    <x:fill>
      <x:patternFill patternType="solid">
        <x:fgColor rgb="FF596B78"/>
      </x:patternFill>
    </x:fill>
    <x:fill>
      <x:patternFill patternType="solid">
        <x:fgColor rgb="FFE6D3A2"/>
      </x:patternFill>
    </x:fill>
    <x:fill>
      <x:patternFill patternType="solid">
        <x:fgColor rgb="FFF3B85B"/>
      </x:patternFill>
    </x:fill>
    <x:fill>
      <x:patternFill patternType="solid">
        <x:fgColor rgb="FF101820"/>
      </x:patternFill>
    </x:fill>
    <x:fill>
      <x:patternFill patternType="solid">
        <x:fgColor rgb="FF334959"/>
      </x:patternFill>
    </x:fill>
    <x:fill>
      <x:patternFill patternType="solid">
        <x:fgColor rgb="FF7FE0D4"/>
      </x:patternFill>
    </x:fill>
    <x:fill>
      <x:patternFill patternType="solid">
        <x:fgColor rgb="FFF05B61"/>
      </x:patternFill>
    </x:fill>
    <x:fill>
      <x:patternFill patternType="solid">
        <x:fgColor rgb="FF25364A"/>
      </x:patternFill>
    </x:fill>
    <x:fill>
      <x:patternFill patternType="solid">
        <x:fgColor rgb="FF6F8395"/>
      </x:patternFill>
    </x:fill>
    <x:fill>
      <x:patternFill patternType="solid">
        <x:fgColor rgb="FFFFD27A"/>
      </x:patternFill>
    </x:fill>
    <x:fill>
      <x:patternFill patternType="solid">
        <x:fgColor rgb="FFFF7A68"/>
      </x:patternFill>
    </x:fill>
    <x:fill>
      <x:patternFill patternType="solid">
        <x:fgColor rgb="FF130D26"/>
      </x:patternFill>
    </x:fill>
    <x:fill>
      <x:patternFill patternType="solid">
        <x:fgColor rgb="FF382A57"/>
      </x:patternFill>
    </x:fill>
    <x:fill>
      <x:patternFill patternType="solid">
        <x:fgColor rgb="FF3DE1D1"/>
      </x:patternFill>
    </x:fill>
    <x:fill>
      <x:patternFill patternType="solid">
        <x:fgColor rgb="FFF23DAA"/>
      </x:patternFill>
    </x:fill>
    <x:fill>
      <x:patternFill patternType="solid">
        <x:fgColor rgb="FF20251F"/>
      </x:patternFill>
    </x:fill>
    <x:fill>
      <x:patternFill patternType="solid">
        <x:fgColor rgb="FF5A604C"/>
      </x:patternFill>
    </x:fill>
    <x:fill>
      <x:patternFill patternType="solid">
        <x:fgColor rgb="FFC9B77B"/>
      </x:patternFill>
    </x:fill>
    <x:fill>
      <x:patternFill patternType="solid">
        <x:fgColor rgb="FFD85E4B"/>
      </x:patternFill>
    </x:fill>
    <x:fill>
      <x:patternFill patternType="solid">
        <x:fgColor rgb="FF211B17"/>
      </x:patternFill>
    </x:fill>
    <x:fill>
      <x:patternFill patternType="solid">
        <x:fgColor rgb="FF5B4635"/>
      </x:patternFill>
    </x:fill>
    <x:fill>
      <x:patternFill patternType="solid">
        <x:fgColor rgb="FFD2A65A"/>
      </x:patternFill>
    </x:fill>
    <x:fill>
      <x:patternFill patternType="solid">
        <x:fgColor rgb="FF7EB08A"/>
      </x:patternFill>
    </x:fill>
    <x:fill>
      <x:patternFill patternType="solid">
        <x:fgColor rgb="FF18251D"/>
      </x:patternFill>
    </x:fill>
    <x:fill>
      <x:patternFill patternType="solid">
        <x:fgColor rgb="FF466444"/>
      </x:patternFill>
    </x:fill>
    <x:fill>
      <x:patternFill patternType="solid">
        <x:fgColor rgb="FFE3C26B"/>
      </x:patternFill>
    </x:fill>
    <x:fill>
      <x:patternFill patternType="solid">
        <x:fgColor rgb="FFE9794B"/>
      </x:patternFill>
    </x:fill>
    <x:fill>
      <x:patternFill patternType="solid">
        <x:fgColor rgb="FF14211F"/>
      </x:patternFill>
    </x:fill>
    <x:fill>
      <x:patternFill patternType="solid">
        <x:fgColor rgb="FF345F4A"/>
      </x:patternFill>
    </x:fill>
    <x:fill>
      <x:patternFill patternType="solid">
        <x:fgColor rgb="FF7FCB8A"/>
      </x:patternFill>
    </x:fill>
    <x:fill>
      <x:patternFill patternType="solid">
        <x:fgColor rgb="FFF2D36B"/>
      </x:patternFill>
    </x:fill>
    <x:fill>
      <x:patternFill patternType="solid">
        <x:fgColor rgb="FF191A2B"/>
      </x:patternFill>
    </x:fill>
    <x:fill>
      <x:patternFill patternType="solid">
        <x:fgColor rgb="FF514865"/>
      </x:patternFill>
    </x:fill>
    <x:fill>
      <x:patternFill patternType="solid">
        <x:fgColor rgb="FFB8A7D9"/>
      </x:patternFill>
    </x:fill>
    <x:fill>
      <x:patternFill patternType="solid">
        <x:fgColor rgb="FFF1A6A0"/>
      </x:patternFill>
    </x:fill>
    <x:fill>
      <x:patternFill patternType="solid">
        <x:fgColor rgb="FF0D1018"/>
      </x:patternFill>
    </x:fill>
    <x:fill>
      <x:patternFill patternType="solid">
        <x:fgColor rgb="FF313D55"/>
      </x:patternFill>
    </x:fill>
    <x:fill>
      <x:patternFill patternType="solid">
        <x:fgColor rgb="FFE6E8F2"/>
      </x:patternFill>
    </x:fill>
    <x:fill>
      <x:patternFill patternType="solid">
        <x:fgColor rgb="FFF0C75E"/>
      </x:patternFill>
    </x:fill>
  </x:fills>
  <x:borders count="17">
    <x:border/>
    <x:border>
      <x:bottom style="thin">
        <x:color rgb="FFE2E6EC"/>
      </x:bottom>
    </x:border>
    <x:border>
      <x:top style="thin">
        <x:color rgb="FFE2E6EC"/>
      </x:top>
      <x:bottom style="thin">
        <x:color rgb="FFE2E6EC"/>
      </x:bottom>
    </x:border>
    <x:border>
      <x:top style="thin">
        <x:color rgb="FFE2E6EC"/>
      </x:top>
      <x:bottom style="thin">
        <x:color rgb="FFCBD3DF"/>
      </x:bottom>
    </x:border>
    <x:border>
      <x:left style="thin">
        <x:color rgb="FFD9CFAE"/>
      </x:left>
      <x:right style="thin">
        <x:color rgb="FFD9CFAE"/>
      </x:right>
      <x:top style="thin">
        <x:color rgb="FFD9CFAE"/>
      </x:top>
      <x:bottom style="thin">
        <x:color rgb="FFD9CFAE"/>
      </x:bottom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  <x:border>
      <x:bottom style="thin">
        <x:color rgb="FFDEE3EB"/>
      </x:bottom>
    </x:border>
    <x:border>
      <x:top style="thin">
        <x:color rgb="FFDEE3EB"/>
      </x:top>
      <x:bottom style="thin">
        <x:color rgb="FFDEE3EB"/>
      </x:bottom>
    </x:border>
    <x:border>
      <x:top style="thin">
        <x:color rgb="FFDEE3EB"/>
      </x:top>
    </x:border>
  </x:borders>
  <x:cellStyleXfs count="1">
    <x:xf numFmtId="0" fontId="0" fillId="0" borderId="0"/>
  </x:cellStyleXfs>
  <x:cellXfs count="5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right" vertical="top" wrapText="1"/>
    </x:xf>
    <x:xf numFmtId="0" fontId="2" fillId="0" borderId="3" xfId="0" applyNumberFormat="1" applyFont="1" applyFill="1" applyBorder="1" applyAlignment="1">
      <x:alignment horizontal="right" vertical="top" wrapText="1"/>
    </x:xf>
    <x:xf numFmtId="200" fontId="2" fillId="0" borderId="2" xfId="0" applyNumberFormat="1" applyFont="1" applyFill="1" applyBorder="1" applyAlignment="1">
      <x:alignment horizontal="right" vertical="top" wrapText="1"/>
    </x:xf>
    <x:xf numFmtId="200" fontId="2" fillId="0" borderId="3" xfId="0" applyNumberFormat="1" applyFont="1" applyFill="1" applyBorder="1" applyAlignment="1">
      <x:alignment horizontal="right" vertical="top" wrapText="1"/>
    </x:xf>
    <x:xf numFmtId="201" fontId="2" fillId="0" borderId="2" xfId="0" applyNumberFormat="1" applyFont="1" applyFill="1" applyBorder="1" applyAlignment="1">
      <x:alignment horizontal="right" vertical="top" wrapText="1"/>
    </x:xf>
    <x:xf numFmtId="201" fontId="2" fillId="0" borderId="3" xfId="0" applyNumberFormat="1" applyFont="1" applyFill="1" applyBorder="1" applyAlignment="1">
      <x:alignment horizontal="right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4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 vertical="center"/>
    </x:xf>
    <x:xf numFmtId="201" fontId="6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horizontal="center" vertical="center"/>
    </x:xf>
    <x:xf numFmtId="0" fontId="9" fillId="7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horizontal="center" vertical="center"/>
    </x:xf>
    <x:xf numFmtId="0" fontId="9" fillId="7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 wrapText="1"/>
    </x:xf>
    <x:xf numFmtId="0" fontId="8" fillId="4" borderId="11" xfId="0" applyNumberFormat="1" applyFont="1" applyFill="1" applyBorder="1" applyAlignment="1">
      <x:alignment horizontal="center" vertical="center"/>
    </x:xf>
    <x:xf numFmtId="0" fontId="9" fillId="7" borderId="12" xfId="0" applyNumberFormat="1" applyFont="1" applyFill="1" applyBorder="1" applyAlignment="1">
      <x:alignment vertical="center"/>
    </x:xf>
    <x:xf numFmtId="0" fontId="0" fillId="3" borderId="1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9" fillId="10" borderId="5" xfId="0" applyNumberFormat="1" applyFont="1" applyFill="1" applyBorder="1" applyAlignment="1">
      <x:alignment vertical="center"/>
    </x:xf>
    <x:xf numFmtId="0" fontId="9" fillId="10" borderId="8" xfId="0" applyNumberFormat="1" applyFont="1" applyFill="1" applyBorder="1" applyAlignment="1">
      <x:alignment vertical="center"/>
    </x:xf>
    <x:xf numFmtId="0" fontId="9" fillId="10" borderId="11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horizontal="center"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13" fillId="7" borderId="14" xfId="0" applyNumberFormat="1" applyFont="1" applyFill="1" applyBorder="1" applyAlignment="1">
      <x:alignment vertical="top" wrapText="1"/>
    </x:xf>
    <x:xf numFmtId="0" fontId="13" fillId="7" borderId="15" xfId="0" applyNumberFormat="1" applyFont="1" applyFill="1" applyBorder="1" applyAlignment="1">
      <x:alignment vertical="top" wrapText="1"/>
    </x:xf>
    <x:xf numFmtId="0" fontId="13" fillId="7" borderId="16" xfId="0" applyNumberFormat="1" applyFont="1" applyFill="1" applyBorder="1" applyAlignment="1">
      <x:alignment vertical="top" wrapText="1"/>
    </x:xf>
    <x:xf numFmtId="0" fontId="13" fillId="7" borderId="14" xfId="0" applyNumberFormat="1" applyFont="1" applyFill="1" applyBorder="1" applyAlignment="1">
      <x:alignment horizontal="center" vertical="top" wrapText="1"/>
    </x:xf>
    <x:xf numFmtId="0" fontId="13" fillId="7" borderId="15" xfId="0" applyNumberFormat="1" applyFont="1" applyFill="1" applyBorder="1" applyAlignment="1">
      <x:alignment horizontal="center" vertical="top" wrapText="1"/>
    </x:xf>
    <x:xf numFmtId="0" fontId="13" fillId="7" borderId="16" xfId="0" applyNumberFormat="1" applyFont="1" applyFill="1" applyBorder="1" applyAlignment="1">
      <x:alignment horizontal="center" vertical="top" wrapText="1"/>
    </x:xf>
    <x:xf numFmtId="0" fontId="13" fillId="7" borderId="14" xfId="0" applyNumberFormat="1" applyFont="1" applyFill="1" applyBorder="1" applyAlignment="1">
      <x:alignment horizontal="center" vertical="center" wrapText="1"/>
    </x:xf>
    <x:xf numFmtId="0" fontId="13" fillId="7" borderId="15" xfId="0" applyNumberFormat="1" applyFont="1" applyFill="1" applyBorder="1" applyAlignment="1">
      <x:alignment horizontal="center" vertical="center" wrapText="1"/>
    </x:xf>
    <x:xf numFmtId="0" fontId="13" fillId="7" borderId="16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202" fontId="0" fillId="0" borderId="14" xfId="0" applyNumberFormat="1" applyFont="1" applyFill="1" applyBorder="1" applyAlignment="1">
      <x:alignment horizontal="center" vertical="top" wrapText="1"/>
    </x:xf>
    <x:xf numFmtId="202" fontId="0" fillId="0" borderId="15" xfId="0" applyNumberFormat="1" applyFont="1" applyFill="1" applyBorder="1" applyAlignment="1">
      <x:alignment horizontal="center" vertical="top" wrapText="1"/>
    </x:xf>
    <x:xf numFmtId="202" fontId="0" fillId="0" borderId="16" xfId="0" applyNumberFormat="1" applyFont="1" applyFill="1" applyBorder="1" applyAlignment="1">
      <x:alignment horizontal="center" vertical="top" wrapText="1"/>
    </x:xf>
    <x:xf numFmtId="201" fontId="0" fillId="0" borderId="14" xfId="0" applyNumberFormat="1" applyFont="1" applyFill="1" applyBorder="1" applyAlignment="1">
      <x:alignment horizontal="center" vertical="top" wrapText="1"/>
    </x:xf>
    <x:xf numFmtId="201" fontId="0" fillId="0" borderId="15" xfId="0" applyNumberFormat="1" applyFont="1" applyFill="1" applyBorder="1" applyAlignment="1">
      <x:alignment horizontal="center" vertical="top" wrapText="1"/>
    </x:xf>
    <x:xf numFmtId="201" fontId="0" fillId="0" borderId="16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4" fillId="18" borderId="0" xfId="0" applyNumberFormat="1" applyFont="1" applyFill="1" applyBorder="1"/>
    <x:xf numFmtId="0" fontId="14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0" fontId="12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14" fillId="21" borderId="0" xfId="0" applyNumberFormat="1" applyFont="1" applyFill="1" applyBorder="1"/>
    <x:xf numFmtId="0" fontId="14" fillId="21" borderId="0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horizontal="center"/>
    </x:xf>
    <x:xf numFmtId="0" fontId="0" fillId="24" borderId="0" xfId="0" applyNumberFormat="1" applyFont="1" applyFill="1" applyBorder="1"/>
    <x:xf numFmtId="0" fontId="12" fillId="24" borderId="0" xfId="0" applyNumberFormat="1" applyFont="1" applyFill="1" applyBorder="1"/>
    <x:xf numFmtId="0" fontId="12" fillId="24" borderId="0" xfId="0" applyNumberFormat="1" applyFont="1" applyFill="1" applyBorder="1" applyAlignment="1">
      <x:alignment horizontal="center"/>
    </x:xf>
    <x:xf numFmtId="0" fontId="0" fillId="25" borderId="0" xfId="0" applyNumberFormat="1" applyFont="1" applyFill="1" applyBorder="1"/>
    <x:xf numFmtId="0" fontId="14" fillId="25" borderId="0" xfId="0" applyNumberFormat="1" applyFont="1" applyFill="1" applyBorder="1"/>
    <x:xf numFmtId="0" fontId="14" fillId="25" borderId="0" xfId="0" applyNumberFormat="1" applyFont="1" applyFill="1" applyBorder="1" applyAlignment="1">
      <x:alignment horizontal="center"/>
    </x:xf>
    <x:xf numFmtId="0" fontId="0" fillId="26" borderId="0" xfId="0" applyNumberFormat="1" applyFont="1" applyFill="1" applyBorder="1"/>
    <x:xf numFmtId="0" fontId="14" fillId="26" borderId="0" xfId="0" applyNumberFormat="1" applyFont="1" applyFill="1" applyBorder="1"/>
    <x:xf numFmtId="0" fontId="14" fillId="26" borderId="0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/>
    <x:xf numFmtId="0" fontId="12" fillId="27" borderId="0" xfId="0" applyNumberFormat="1" applyFont="1" applyFill="1" applyBorder="1"/>
    <x:xf numFmtId="0" fontId="12" fillId="27" borderId="0" xfId="0" applyNumberFormat="1" applyFont="1" applyFill="1" applyBorder="1" applyAlignment="1">
      <x:alignment horizontal="center"/>
    </x:xf>
    <x:xf numFmtId="0" fontId="0" fillId="28" borderId="0" xfId="0" applyNumberFormat="1" applyFont="1" applyFill="1" applyBorder="1"/>
    <x:xf numFmtId="0" fontId="12" fillId="28" borderId="0" xfId="0" applyNumberFormat="1" applyFont="1" applyFill="1" applyBorder="1"/>
    <x:xf numFmtId="0" fontId="12" fillId="28" borderId="0" xfId="0" applyNumberFormat="1" applyFont="1" applyFill="1" applyBorder="1" applyAlignment="1">
      <x:alignment horizontal="center"/>
    </x:xf>
    <x:xf numFmtId="0" fontId="0" fillId="29" borderId="0" xfId="0" applyNumberFormat="1" applyFont="1" applyFill="1" applyBorder="1"/>
    <x:xf numFmtId="0" fontId="14" fillId="29" borderId="0" xfId="0" applyNumberFormat="1" applyFont="1" applyFill="1" applyBorder="1"/>
    <x:xf numFmtId="0" fontId="14" fillId="29" borderId="0" xfId="0" applyNumberFormat="1" applyFont="1" applyFill="1" applyBorder="1" applyAlignment="1">
      <x:alignment horizontal="center"/>
    </x:xf>
    <x:xf numFmtId="0" fontId="0" fillId="30" borderId="0" xfId="0" applyNumberFormat="1" applyFont="1" applyFill="1" applyBorder="1"/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/>
    <x:xf numFmtId="0" fontId="12" fillId="31" borderId="0" xfId="0" applyNumberFormat="1" applyFont="1" applyFill="1" applyBorder="1"/>
    <x:xf numFmtId="0" fontId="12" fillId="31" borderId="0" xfId="0" applyNumberFormat="1" applyFont="1" applyFill="1" applyBorder="1" applyAlignment="1">
      <x:alignment horizontal="center"/>
    </x:xf>
    <x:xf numFmtId="0" fontId="0" fillId="32" borderId="0" xfId="0" applyNumberFormat="1" applyFont="1" applyFill="1" applyBorder="1"/>
    <x:xf numFmtId="0" fontId="12" fillId="32" borderId="0" xfId="0" applyNumberFormat="1" applyFont="1" applyFill="1" applyBorder="1"/>
    <x:xf numFmtId="0" fontId="12" fillId="32" borderId="0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horizontal="center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14" fillId="34" borderId="0" xfId="0" applyNumberFormat="1" applyFont="1" applyFill="1" applyBorder="1" applyAlignment="1">
      <x:alignment horizontal="center"/>
    </x:xf>
    <x:xf numFmtId="0" fontId="0" fillId="35" borderId="0" xfId="0" applyNumberFormat="1" applyFont="1" applyFill="1" applyBorder="1"/>
    <x:xf numFmtId="0" fontId="12" fillId="35" borderId="0" xfId="0" applyNumberFormat="1" applyFont="1" applyFill="1" applyBorder="1"/>
    <x:xf numFmtId="0" fontId="12" fillId="35" borderId="0" xfId="0" applyNumberFormat="1" applyFont="1" applyFill="1" applyBorder="1" applyAlignment="1">
      <x:alignment horizontal="center"/>
    </x:xf>
    <x:xf numFmtId="0" fontId="0" fillId="36" borderId="0" xfId="0" applyNumberFormat="1" applyFont="1" applyFill="1" applyBorder="1"/>
    <x:xf numFmtId="0" fontId="12" fillId="36" borderId="0" xfId="0" applyNumberFormat="1" applyFont="1" applyFill="1" applyBorder="1"/>
    <x:xf numFmtId="0" fontId="12" fillId="36" borderId="0" xfId="0" applyNumberFormat="1" applyFont="1" applyFill="1" applyBorder="1" applyAlignment="1">
      <x:alignment horizontal="center"/>
    </x:xf>
    <x:xf numFmtId="0" fontId="0" fillId="37" borderId="0" xfId="0" applyNumberFormat="1" applyFont="1" applyFill="1" applyBorder="1"/>
    <x:xf numFmtId="0" fontId="14" fillId="37" borderId="0" xfId="0" applyNumberFormat="1" applyFont="1" applyFill="1" applyBorder="1"/>
    <x:xf numFmtId="0" fontId="14" fillId="37" borderId="0" xfId="0" applyNumberFormat="1" applyFont="1" applyFill="1" applyBorder="1" applyAlignment="1">
      <x:alignment horizontal="center"/>
    </x:xf>
    <x:xf numFmtId="0" fontId="0" fillId="38" borderId="0" xfId="0" applyNumberFormat="1" applyFont="1" applyFill="1" applyBorder="1"/>
    <x:xf numFmtId="0" fontId="14" fillId="38" borderId="0" xfId="0" applyNumberFormat="1" applyFont="1" applyFill="1" applyBorder="1"/>
    <x:xf numFmtId="0" fontId="14" fillId="38" borderId="0" xfId="0" applyNumberFormat="1" applyFont="1" applyFill="1" applyBorder="1" applyAlignment="1">
      <x:alignment horizontal="center"/>
    </x:xf>
    <x:xf numFmtId="0" fontId="0" fillId="39" borderId="0" xfId="0" applyNumberFormat="1" applyFont="1" applyFill="1" applyBorder="1"/>
    <x:xf numFmtId="0" fontId="12" fillId="39" borderId="0" xfId="0" applyNumberFormat="1" applyFont="1" applyFill="1" applyBorder="1"/>
    <x:xf numFmtId="0" fontId="12" fillId="39" borderId="0" xfId="0" applyNumberFormat="1" applyFont="1" applyFill="1" applyBorder="1" applyAlignment="1">
      <x:alignment horizontal="center"/>
    </x:xf>
    <x:xf numFmtId="0" fontId="0" fillId="40" borderId="0" xfId="0" applyNumberFormat="1" applyFont="1" applyFill="1" applyBorder="1"/>
    <x:xf numFmtId="0" fontId="12" fillId="40" borderId="0" xfId="0" applyNumberFormat="1" applyFont="1" applyFill="1" applyBorder="1"/>
    <x:xf numFmtId="0" fontId="1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14" fillId="41" borderId="0" xfId="0" applyNumberFormat="1" applyFont="1" applyFill="1" applyBorder="1"/>
    <x:xf numFmtId="0" fontId="14" fillId="41" borderId="0" xfId="0" applyNumberFormat="1" applyFont="1" applyFill="1" applyBorder="1" applyAlignment="1">
      <x:alignment horizontal="center"/>
    </x:xf>
    <x:xf numFmtId="0" fontId="0" fillId="42" borderId="0" xfId="0" applyNumberFormat="1" applyFont="1" applyFill="1" applyBorder="1"/>
    <x:xf numFmtId="0" fontId="14" fillId="42" borderId="0" xfId="0" applyNumberFormat="1" applyFont="1" applyFill="1" applyBorder="1"/>
    <x:xf numFmtId="0" fontId="14" fillId="42" borderId="0" xfId="0" applyNumberFormat="1" applyFont="1" applyFill="1" applyBorder="1" applyAlignment="1">
      <x:alignment horizontal="center"/>
    </x:xf>
    <x:xf numFmtId="0" fontId="0" fillId="43" borderId="0" xfId="0" applyNumberFormat="1" applyFont="1" applyFill="1" applyBorder="1"/>
    <x:xf numFmtId="0" fontId="12" fillId="43" borderId="0" xfId="0" applyNumberFormat="1" applyFont="1" applyFill="1" applyBorder="1"/>
    <x:xf numFmtId="0" fontId="12" fillId="43" borderId="0" xfId="0" applyNumberFormat="1" applyFont="1" applyFill="1" applyBorder="1" applyAlignment="1">
      <x:alignment horizontal="center"/>
    </x:xf>
    <x:xf numFmtId="0" fontId="0" fillId="44" borderId="0" xfId="0" applyNumberFormat="1" applyFont="1" applyFill="1" applyBorder="1"/>
    <x:xf numFmtId="0" fontId="12" fillId="44" borderId="0" xfId="0" applyNumberFormat="1" applyFont="1" applyFill="1" applyBorder="1"/>
    <x:xf numFmtId="0" fontId="12" fillId="44" borderId="0" xfId="0" applyNumberFormat="1" applyFont="1" applyFill="1" applyBorder="1" applyAlignment="1">
      <x:alignment horizontal="center"/>
    </x:xf>
    <x:xf numFmtId="0" fontId="0" fillId="45" borderId="0" xfId="0" applyNumberFormat="1" applyFont="1" applyFill="1" applyBorder="1"/>
    <x:xf numFmtId="0" fontId="14" fillId="45" borderId="0" xfId="0" applyNumberFormat="1" applyFont="1" applyFill="1" applyBorder="1"/>
    <x:xf numFmtId="0" fontId="14" fillId="45" borderId="0" xfId="0" applyNumberFormat="1" applyFont="1" applyFill="1" applyBorder="1" applyAlignment="1">
      <x:alignment horizontal="center"/>
    </x:xf>
    <x:xf numFmtId="0" fontId="0" fillId="46" borderId="0" xfId="0" applyNumberFormat="1" applyFont="1" applyFill="1" applyBorder="1"/>
    <x:xf numFmtId="0" fontId="14" fillId="46" borderId="0" xfId="0" applyNumberFormat="1" applyFont="1" applyFill="1" applyBorder="1"/>
    <x:xf numFmtId="0" fontId="14" fillId="46" borderId="0" xfId="0" applyNumberFormat="1" applyFont="1" applyFill="1" applyBorder="1" applyAlignment="1">
      <x:alignment horizontal="center"/>
    </x:xf>
    <x:xf numFmtId="0" fontId="0" fillId="47" borderId="0" xfId="0" applyNumberFormat="1" applyFont="1" applyFill="1" applyBorder="1"/>
    <x:xf numFmtId="0" fontId="12" fillId="47" borderId="0" xfId="0" applyNumberFormat="1" applyFont="1" applyFill="1" applyBorder="1"/>
    <x:xf numFmtId="0" fontId="12" fillId="47" borderId="0" xfId="0" applyNumberFormat="1" applyFont="1" applyFill="1" applyBorder="1" applyAlignment="1">
      <x:alignment horizontal="center"/>
    </x:xf>
    <x:xf numFmtId="0" fontId="0" fillId="48" borderId="0" xfId="0" applyNumberFormat="1" applyFont="1" applyFill="1" applyBorder="1"/>
    <x:xf numFmtId="0" fontId="12" fillId="48" borderId="0" xfId="0" applyNumberFormat="1" applyFont="1" applyFill="1" applyBorder="1"/>
    <x:xf numFmtId="0" fontId="12" fillId="48" borderId="0" xfId="0" applyNumberFormat="1" applyFont="1" applyFill="1" applyBorder="1" applyAlignment="1">
      <x:alignment horizontal="center"/>
    </x:xf>
    <x:xf numFmtId="0" fontId="0" fillId="49" borderId="0" xfId="0" applyNumberFormat="1" applyFont="1" applyFill="1" applyBorder="1"/>
    <x:xf numFmtId="0" fontId="14" fillId="49" borderId="0" xfId="0" applyNumberFormat="1" applyFont="1" applyFill="1" applyBorder="1"/>
    <x:xf numFmtId="0" fontId="14" fillId="49" borderId="0" xfId="0" applyNumberFormat="1" applyFont="1" applyFill="1" applyBorder="1" applyAlignment="1">
      <x:alignment horizontal="center"/>
    </x:xf>
    <x:xf numFmtId="0" fontId="0" fillId="50" borderId="0" xfId="0" applyNumberFormat="1" applyFont="1" applyFill="1" applyBorder="1"/>
    <x:xf numFmtId="0" fontId="14" fillId="50" borderId="0" xfId="0" applyNumberFormat="1" applyFont="1" applyFill="1" applyBorder="1"/>
    <x:xf numFmtId="0" fontId="14" fillId="50" borderId="0" xfId="0" applyNumberFormat="1" applyFont="1" applyFill="1" applyBorder="1" applyAlignment="1">
      <x:alignment horizontal="center"/>
    </x:xf>
    <x:xf numFmtId="0" fontId="12" fillId="11" borderId="14" xfId="0" applyNumberFormat="1" applyFont="1" applyFill="1" applyBorder="1" applyAlignment="1">
      <x:alignment horizontal="center"/>
    </x:xf>
    <x:xf numFmtId="0" fontId="12" fillId="12" borderId="14" xfId="0" applyNumberFormat="1" applyFont="1" applyFill="1" applyBorder="1" applyAlignment="1">
      <x:alignment horizontal="center"/>
    </x:xf>
    <x:xf numFmtId="0" fontId="14" fillId="13" borderId="14" xfId="0" applyNumberFormat="1" applyFont="1" applyFill="1" applyBorder="1" applyAlignment="1">
      <x:alignment horizontal="center"/>
    </x:xf>
    <x:xf numFmtId="0" fontId="14" fillId="14" borderId="14" xfId="0" applyNumberFormat="1" applyFont="1" applyFill="1" applyBorder="1" applyAlignment="1">
      <x:alignment horizontal="center"/>
    </x:xf>
    <x:xf numFmtId="0" fontId="12" fillId="15" borderId="15" xfId="0" applyNumberFormat="1" applyFont="1" applyFill="1" applyBorder="1" applyAlignment="1">
      <x:alignment horizontal="center"/>
    </x:xf>
    <x:xf numFmtId="0" fontId="12" fillId="16" borderId="15" xfId="0" applyNumberFormat="1" applyFont="1" applyFill="1" applyBorder="1" applyAlignment="1">
      <x:alignment horizontal="center"/>
    </x:xf>
    <x:xf numFmtId="0" fontId="14" fillId="17" borderId="15" xfId="0" applyNumberFormat="1" applyFont="1" applyFill="1" applyBorder="1" applyAlignment="1">
      <x:alignment horizontal="center"/>
    </x:xf>
    <x:xf numFmtId="0" fontId="14" fillId="18" borderId="15" xfId="0" applyNumberFormat="1" applyFont="1" applyFill="1" applyBorder="1" applyAlignment="1">
      <x:alignment horizontal="center"/>
    </x:xf>
    <x:xf numFmtId="0" fontId="12" fillId="19" borderId="15" xfId="0" applyNumberFormat="1" applyFont="1" applyFill="1" applyBorder="1" applyAlignment="1">
      <x:alignment horizontal="center"/>
    </x:xf>
    <x:xf numFmtId="0" fontId="12" fillId="20" borderId="15" xfId="0" applyNumberFormat="1" applyFont="1" applyFill="1" applyBorder="1" applyAlignment="1">
      <x:alignment horizontal="center"/>
    </x:xf>
    <x:xf numFmtId="0" fontId="14" fillId="21" borderId="15" xfId="0" applyNumberFormat="1" applyFont="1" applyFill="1" applyBorder="1" applyAlignment="1">
      <x:alignment horizontal="center"/>
    </x:xf>
    <x:xf numFmtId="0" fontId="14" fillId="22" borderId="15" xfId="0" applyNumberFormat="1" applyFont="1" applyFill="1" applyBorder="1" applyAlignment="1">
      <x:alignment horizontal="center"/>
    </x:xf>
    <x:xf numFmtId="0" fontId="12" fillId="23" borderId="15" xfId="0" applyNumberFormat="1" applyFont="1" applyFill="1" applyBorder="1" applyAlignment="1">
      <x:alignment horizontal="center"/>
    </x:xf>
    <x:xf numFmtId="0" fontId="12" fillId="24" borderId="15" xfId="0" applyNumberFormat="1" applyFont="1" applyFill="1" applyBorder="1" applyAlignment="1">
      <x:alignment horizontal="center"/>
    </x:xf>
    <x:xf numFmtId="0" fontId="14" fillId="25" borderId="15" xfId="0" applyNumberFormat="1" applyFont="1" applyFill="1" applyBorder="1" applyAlignment="1">
      <x:alignment horizontal="center"/>
    </x:xf>
    <x:xf numFmtId="0" fontId="14" fillId="26" borderId="15" xfId="0" applyNumberFormat="1" applyFont="1" applyFill="1" applyBorder="1" applyAlignment="1">
      <x:alignment horizontal="center"/>
    </x:xf>
    <x:xf numFmtId="0" fontId="12" fillId="27" borderId="15" xfId="0" applyNumberFormat="1" applyFont="1" applyFill="1" applyBorder="1" applyAlignment="1">
      <x:alignment horizontal="center"/>
    </x:xf>
    <x:xf numFmtId="0" fontId="12" fillId="28" borderId="15" xfId="0" applyNumberFormat="1" applyFont="1" applyFill="1" applyBorder="1" applyAlignment="1">
      <x:alignment horizontal="center"/>
    </x:xf>
    <x:xf numFmtId="0" fontId="14" fillId="29" borderId="15" xfId="0" applyNumberFormat="1" applyFont="1" applyFill="1" applyBorder="1" applyAlignment="1">
      <x:alignment horizontal="center"/>
    </x:xf>
    <x:xf numFmtId="0" fontId="14" fillId="30" borderId="15" xfId="0" applyNumberFormat="1" applyFont="1" applyFill="1" applyBorder="1" applyAlignment="1">
      <x:alignment horizontal="center"/>
    </x:xf>
    <x:xf numFmtId="0" fontId="12" fillId="31" borderId="15" xfId="0" applyNumberFormat="1" applyFont="1" applyFill="1" applyBorder="1" applyAlignment="1">
      <x:alignment horizontal="center"/>
    </x:xf>
    <x:xf numFmtId="0" fontId="12" fillId="32" borderId="15" xfId="0" applyNumberFormat="1" applyFont="1" applyFill="1" applyBorder="1" applyAlignment="1">
      <x:alignment horizontal="center"/>
    </x:xf>
    <x:xf numFmtId="0" fontId="14" fillId="33" borderId="15" xfId="0" applyNumberFormat="1" applyFont="1" applyFill="1" applyBorder="1" applyAlignment="1">
      <x:alignment horizontal="center"/>
    </x:xf>
    <x:xf numFmtId="0" fontId="14" fillId="34" borderId="15" xfId="0" applyNumberFormat="1" applyFont="1" applyFill="1" applyBorder="1" applyAlignment="1">
      <x:alignment horizontal="center"/>
    </x:xf>
    <x:xf numFmtId="0" fontId="12" fillId="35" borderId="15" xfId="0" applyNumberFormat="1" applyFont="1" applyFill="1" applyBorder="1" applyAlignment="1">
      <x:alignment horizontal="center"/>
    </x:xf>
    <x:xf numFmtId="0" fontId="12" fillId="36" borderId="15" xfId="0" applyNumberFormat="1" applyFont="1" applyFill="1" applyBorder="1" applyAlignment="1">
      <x:alignment horizontal="center"/>
    </x:xf>
    <x:xf numFmtId="0" fontId="14" fillId="37" borderId="15" xfId="0" applyNumberFormat="1" applyFont="1" applyFill="1" applyBorder="1" applyAlignment="1">
      <x:alignment horizontal="center"/>
    </x:xf>
    <x:xf numFmtId="0" fontId="14" fillId="38" borderId="15" xfId="0" applyNumberFormat="1" applyFont="1" applyFill="1" applyBorder="1" applyAlignment="1">
      <x:alignment horizontal="center"/>
    </x:xf>
    <x:xf numFmtId="0" fontId="12" fillId="39" borderId="15" xfId="0" applyNumberFormat="1" applyFont="1" applyFill="1" applyBorder="1" applyAlignment="1">
      <x:alignment horizontal="center"/>
    </x:xf>
    <x:xf numFmtId="0" fontId="12" fillId="40" borderId="15" xfId="0" applyNumberFormat="1" applyFont="1" applyFill="1" applyBorder="1" applyAlignment="1">
      <x:alignment horizontal="center"/>
    </x:xf>
    <x:xf numFmtId="0" fontId="14" fillId="41" borderId="15" xfId="0" applyNumberFormat="1" applyFont="1" applyFill="1" applyBorder="1" applyAlignment="1">
      <x:alignment horizontal="center"/>
    </x:xf>
    <x:xf numFmtId="0" fontId="14" fillId="42" borderId="15" xfId="0" applyNumberFormat="1" applyFont="1" applyFill="1" applyBorder="1" applyAlignment="1">
      <x:alignment horizontal="center"/>
    </x:xf>
    <x:xf numFmtId="0" fontId="12" fillId="43" borderId="15" xfId="0" applyNumberFormat="1" applyFont="1" applyFill="1" applyBorder="1" applyAlignment="1">
      <x:alignment horizontal="center"/>
    </x:xf>
    <x:xf numFmtId="0" fontId="12" fillId="44" borderId="15" xfId="0" applyNumberFormat="1" applyFont="1" applyFill="1" applyBorder="1" applyAlignment="1">
      <x:alignment horizontal="center"/>
    </x:xf>
    <x:xf numFmtId="0" fontId="14" fillId="45" borderId="15" xfId="0" applyNumberFormat="1" applyFont="1" applyFill="1" applyBorder="1" applyAlignment="1">
      <x:alignment horizontal="center"/>
    </x:xf>
    <x:xf numFmtId="0" fontId="14" fillId="46" borderId="15" xfId="0" applyNumberFormat="1" applyFont="1" applyFill="1" applyBorder="1" applyAlignment="1">
      <x:alignment horizontal="center"/>
    </x:xf>
    <x:xf numFmtId="0" fontId="12" fillId="47" borderId="16" xfId="0" applyNumberFormat="1" applyFont="1" applyFill="1" applyBorder="1" applyAlignment="1">
      <x:alignment horizontal="center"/>
    </x:xf>
    <x:xf numFmtId="0" fontId="12" fillId="48" borderId="16" xfId="0" applyNumberFormat="1" applyFont="1" applyFill="1" applyBorder="1" applyAlignment="1">
      <x:alignment horizontal="center"/>
    </x:xf>
    <x:xf numFmtId="0" fontId="14" fillId="49" borderId="16" xfId="0" applyNumberFormat="1" applyFont="1" applyFill="1" applyBorder="1" applyAlignment="1">
      <x:alignment horizontal="center"/>
    </x:xf>
    <x:xf numFmtId="0" fontId="14" fillId="50" borderId="16" xfId="0" applyNumberFormat="1" applyFont="1" applyFill="1" applyBorder="1" applyAlignment="1">
      <x:alignment horizontal="center"/>
    </x:xf>
    <x:xf numFmtId="0" fontId="12" fillId="11" borderId="14" xfId="0" applyNumberFormat="1" applyFont="1" applyFill="1" applyBorder="1" applyAlignment="1">
      <x:alignment horizontal="center" wrapText="1"/>
    </x:xf>
    <x:xf numFmtId="0" fontId="12" fillId="12" borderId="14" xfId="0" applyNumberFormat="1" applyFont="1" applyFill="1" applyBorder="1" applyAlignment="1">
      <x:alignment horizontal="center" wrapText="1"/>
    </x:xf>
    <x:xf numFmtId="0" fontId="14" fillId="13" borderId="14" xfId="0" applyNumberFormat="1" applyFont="1" applyFill="1" applyBorder="1" applyAlignment="1">
      <x:alignment horizontal="center" wrapText="1"/>
    </x:xf>
    <x:xf numFmtId="0" fontId="14" fillId="14" borderId="14" xfId="0" applyNumberFormat="1" applyFont="1" applyFill="1" applyBorder="1" applyAlignment="1">
      <x:alignment horizontal="center" wrapText="1"/>
    </x:xf>
    <x:xf numFmtId="0" fontId="12" fillId="15" borderId="15" xfId="0" applyNumberFormat="1" applyFont="1" applyFill="1" applyBorder="1" applyAlignment="1">
      <x:alignment horizontal="center" wrapText="1"/>
    </x:xf>
    <x:xf numFmtId="0" fontId="12" fillId="16" borderId="15" xfId="0" applyNumberFormat="1" applyFont="1" applyFill="1" applyBorder="1" applyAlignment="1">
      <x:alignment horizontal="center" wrapText="1"/>
    </x:xf>
    <x:xf numFmtId="0" fontId="14" fillId="17" borderId="15" xfId="0" applyNumberFormat="1" applyFont="1" applyFill="1" applyBorder="1" applyAlignment="1">
      <x:alignment horizontal="center" wrapText="1"/>
    </x:xf>
    <x:xf numFmtId="0" fontId="14" fillId="18" borderId="15" xfId="0" applyNumberFormat="1" applyFont="1" applyFill="1" applyBorder="1" applyAlignment="1">
      <x:alignment horizontal="center" wrapText="1"/>
    </x:xf>
    <x:xf numFmtId="0" fontId="12" fillId="19" borderId="15" xfId="0" applyNumberFormat="1" applyFont="1" applyFill="1" applyBorder="1" applyAlignment="1">
      <x:alignment horizontal="center" wrapText="1"/>
    </x:xf>
    <x:xf numFmtId="0" fontId="12" fillId="20" borderId="15" xfId="0" applyNumberFormat="1" applyFont="1" applyFill="1" applyBorder="1" applyAlignment="1">
      <x:alignment horizontal="center" wrapText="1"/>
    </x:xf>
    <x:xf numFmtId="0" fontId="14" fillId="21" borderId="15" xfId="0" applyNumberFormat="1" applyFont="1" applyFill="1" applyBorder="1" applyAlignment="1">
      <x:alignment horizontal="center" wrapText="1"/>
    </x:xf>
    <x:xf numFmtId="0" fontId="14" fillId="22" borderId="15" xfId="0" applyNumberFormat="1" applyFont="1" applyFill="1" applyBorder="1" applyAlignment="1">
      <x:alignment horizontal="center" wrapText="1"/>
    </x:xf>
    <x:xf numFmtId="0" fontId="12" fillId="23" borderId="15" xfId="0" applyNumberFormat="1" applyFont="1" applyFill="1" applyBorder="1" applyAlignment="1">
      <x:alignment horizontal="center" wrapText="1"/>
    </x:xf>
    <x:xf numFmtId="0" fontId="12" fillId="24" borderId="15" xfId="0" applyNumberFormat="1" applyFont="1" applyFill="1" applyBorder="1" applyAlignment="1">
      <x:alignment horizontal="center" wrapText="1"/>
    </x:xf>
    <x:xf numFmtId="0" fontId="14" fillId="25" borderId="15" xfId="0" applyNumberFormat="1" applyFont="1" applyFill="1" applyBorder="1" applyAlignment="1">
      <x:alignment horizontal="center" wrapText="1"/>
    </x:xf>
    <x:xf numFmtId="0" fontId="14" fillId="26" borderId="15" xfId="0" applyNumberFormat="1" applyFont="1" applyFill="1" applyBorder="1" applyAlignment="1">
      <x:alignment horizontal="center" wrapText="1"/>
    </x:xf>
    <x:xf numFmtId="0" fontId="12" fillId="27" borderId="15" xfId="0" applyNumberFormat="1" applyFont="1" applyFill="1" applyBorder="1" applyAlignment="1">
      <x:alignment horizontal="center" wrapText="1"/>
    </x:xf>
    <x:xf numFmtId="0" fontId="12" fillId="28" borderId="15" xfId="0" applyNumberFormat="1" applyFont="1" applyFill="1" applyBorder="1" applyAlignment="1">
      <x:alignment horizontal="center" wrapText="1"/>
    </x:xf>
    <x:xf numFmtId="0" fontId="14" fillId="29" borderId="15" xfId="0" applyNumberFormat="1" applyFont="1" applyFill="1" applyBorder="1" applyAlignment="1">
      <x:alignment horizontal="center" wrapText="1"/>
    </x:xf>
    <x:xf numFmtId="0" fontId="14" fillId="30" borderId="15" xfId="0" applyNumberFormat="1" applyFont="1" applyFill="1" applyBorder="1" applyAlignment="1">
      <x:alignment horizontal="center" wrapText="1"/>
    </x:xf>
    <x:xf numFmtId="0" fontId="12" fillId="31" borderId="15" xfId="0" applyNumberFormat="1" applyFont="1" applyFill="1" applyBorder="1" applyAlignment="1">
      <x:alignment horizontal="center" wrapText="1"/>
    </x:xf>
    <x:xf numFmtId="0" fontId="12" fillId="32" borderId="15" xfId="0" applyNumberFormat="1" applyFont="1" applyFill="1" applyBorder="1" applyAlignment="1">
      <x:alignment horizontal="center" wrapText="1"/>
    </x:xf>
    <x:xf numFmtId="0" fontId="14" fillId="33" borderId="15" xfId="0" applyNumberFormat="1" applyFont="1" applyFill="1" applyBorder="1" applyAlignment="1">
      <x:alignment horizontal="center" wrapText="1"/>
    </x:xf>
    <x:xf numFmtId="0" fontId="14" fillId="34" borderId="15" xfId="0" applyNumberFormat="1" applyFont="1" applyFill="1" applyBorder="1" applyAlignment="1">
      <x:alignment horizontal="center" wrapText="1"/>
    </x:xf>
    <x:xf numFmtId="0" fontId="12" fillId="35" borderId="15" xfId="0" applyNumberFormat="1" applyFont="1" applyFill="1" applyBorder="1" applyAlignment="1">
      <x:alignment horizontal="center" wrapText="1"/>
    </x:xf>
    <x:xf numFmtId="0" fontId="12" fillId="36" borderId="15" xfId="0" applyNumberFormat="1" applyFont="1" applyFill="1" applyBorder="1" applyAlignment="1">
      <x:alignment horizontal="center" wrapText="1"/>
    </x:xf>
    <x:xf numFmtId="0" fontId="14" fillId="37" borderId="15" xfId="0" applyNumberFormat="1" applyFont="1" applyFill="1" applyBorder="1" applyAlignment="1">
      <x:alignment horizontal="center" wrapText="1"/>
    </x:xf>
    <x:xf numFmtId="0" fontId="14" fillId="38" borderId="15" xfId="0" applyNumberFormat="1" applyFont="1" applyFill="1" applyBorder="1" applyAlignment="1">
      <x:alignment horizontal="center" wrapText="1"/>
    </x:xf>
    <x:xf numFmtId="0" fontId="12" fillId="39" borderId="15" xfId="0" applyNumberFormat="1" applyFont="1" applyFill="1" applyBorder="1" applyAlignment="1">
      <x:alignment horizontal="center" wrapText="1"/>
    </x:xf>
    <x:xf numFmtId="0" fontId="12" fillId="40" borderId="15" xfId="0" applyNumberFormat="1" applyFont="1" applyFill="1" applyBorder="1" applyAlignment="1">
      <x:alignment horizontal="center" wrapText="1"/>
    </x:xf>
    <x:xf numFmtId="0" fontId="14" fillId="41" borderId="15" xfId="0" applyNumberFormat="1" applyFont="1" applyFill="1" applyBorder="1" applyAlignment="1">
      <x:alignment horizontal="center" wrapText="1"/>
    </x:xf>
    <x:xf numFmtId="0" fontId="14" fillId="42" borderId="15" xfId="0" applyNumberFormat="1" applyFont="1" applyFill="1" applyBorder="1" applyAlignment="1">
      <x:alignment horizontal="center" wrapText="1"/>
    </x:xf>
    <x:xf numFmtId="0" fontId="12" fillId="43" borderId="15" xfId="0" applyNumberFormat="1" applyFont="1" applyFill="1" applyBorder="1" applyAlignment="1">
      <x:alignment horizontal="center" wrapText="1"/>
    </x:xf>
    <x:xf numFmtId="0" fontId="12" fillId="44" borderId="15" xfId="0" applyNumberFormat="1" applyFont="1" applyFill="1" applyBorder="1" applyAlignment="1">
      <x:alignment horizontal="center" wrapText="1"/>
    </x:xf>
    <x:xf numFmtId="0" fontId="14" fillId="45" borderId="15" xfId="0" applyNumberFormat="1" applyFont="1" applyFill="1" applyBorder="1" applyAlignment="1">
      <x:alignment horizontal="center" wrapText="1"/>
    </x:xf>
    <x:xf numFmtId="0" fontId="14" fillId="46" borderId="15" xfId="0" applyNumberFormat="1" applyFont="1" applyFill="1" applyBorder="1" applyAlignment="1">
      <x:alignment horizontal="center" wrapText="1"/>
    </x:xf>
    <x:xf numFmtId="0" fontId="12" fillId="47" borderId="16" xfId="0" applyNumberFormat="1" applyFont="1" applyFill="1" applyBorder="1" applyAlignment="1">
      <x:alignment horizontal="center" wrapText="1"/>
    </x:xf>
    <x:xf numFmtId="0" fontId="12" fillId="48" borderId="16" xfId="0" applyNumberFormat="1" applyFont="1" applyFill="1" applyBorder="1" applyAlignment="1">
      <x:alignment horizontal="center" wrapText="1"/>
    </x:xf>
    <x:xf numFmtId="0" fontId="14" fillId="49" borderId="16" xfId="0" applyNumberFormat="1" applyFont="1" applyFill="1" applyBorder="1" applyAlignment="1">
      <x:alignment horizontal="center" wrapText="1"/>
    </x:xf>
    <x:xf numFmtId="0" fontId="14" fillId="50" borderId="16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12" fillId="11" borderId="14" xfId="0" applyNumberFormat="1" applyFont="1" applyFill="1" applyBorder="1" applyAlignment="1">
      <x:alignment horizontal="center" vertical="center" wrapText="1"/>
    </x:xf>
    <x:xf numFmtId="0" fontId="12" fillId="12" borderId="14" xfId="0" applyNumberFormat="1" applyFont="1" applyFill="1" applyBorder="1" applyAlignment="1">
      <x:alignment horizontal="center" vertical="center" wrapText="1"/>
    </x:xf>
    <x:xf numFmtId="0" fontId="14" fillId="13" borderId="14" xfId="0" applyNumberFormat="1" applyFont="1" applyFill="1" applyBorder="1" applyAlignment="1">
      <x:alignment horizontal="center" vertical="center" wrapText="1"/>
    </x:xf>
    <x:xf numFmtId="0" fontId="14" fillId="14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12" fillId="15" borderId="15" xfId="0" applyNumberFormat="1" applyFont="1" applyFill="1" applyBorder="1" applyAlignment="1">
      <x:alignment horizontal="center" vertical="center" wrapText="1"/>
    </x:xf>
    <x:xf numFmtId="0" fontId="12" fillId="16" borderId="15" xfId="0" applyNumberFormat="1" applyFont="1" applyFill="1" applyBorder="1" applyAlignment="1">
      <x:alignment horizontal="center" vertical="center" wrapText="1"/>
    </x:xf>
    <x:xf numFmtId="0" fontId="14" fillId="17" borderId="15" xfId="0" applyNumberFormat="1" applyFont="1" applyFill="1" applyBorder="1" applyAlignment="1">
      <x:alignment horizontal="center" vertical="center" wrapText="1"/>
    </x:xf>
    <x:xf numFmtId="0" fontId="14" fillId="18" borderId="15" xfId="0" applyNumberFormat="1" applyFont="1" applyFill="1" applyBorder="1" applyAlignment="1">
      <x:alignment horizontal="center" vertical="center" wrapText="1"/>
    </x:xf>
    <x:xf numFmtId="0" fontId="12" fillId="19" borderId="15" xfId="0" applyNumberFormat="1" applyFont="1" applyFill="1" applyBorder="1" applyAlignment="1">
      <x:alignment horizontal="center" vertical="center" wrapText="1"/>
    </x:xf>
    <x:xf numFmtId="0" fontId="12" fillId="20" borderId="15" xfId="0" applyNumberFormat="1" applyFont="1" applyFill="1" applyBorder="1" applyAlignment="1">
      <x:alignment horizontal="center" vertical="center" wrapText="1"/>
    </x:xf>
    <x:xf numFmtId="0" fontId="14" fillId="21" borderId="15" xfId="0" applyNumberFormat="1" applyFont="1" applyFill="1" applyBorder="1" applyAlignment="1">
      <x:alignment horizontal="center" vertical="center" wrapText="1"/>
    </x:xf>
    <x:xf numFmtId="0" fontId="14" fillId="22" borderId="15" xfId="0" applyNumberFormat="1" applyFont="1" applyFill="1" applyBorder="1" applyAlignment="1">
      <x:alignment horizontal="center" vertical="center" wrapText="1"/>
    </x:xf>
    <x:xf numFmtId="0" fontId="12" fillId="23" borderId="15" xfId="0" applyNumberFormat="1" applyFont="1" applyFill="1" applyBorder="1" applyAlignment="1">
      <x:alignment horizontal="center" vertical="center" wrapText="1"/>
    </x:xf>
    <x:xf numFmtId="0" fontId="12" fillId="24" borderId="15" xfId="0" applyNumberFormat="1" applyFont="1" applyFill="1" applyBorder="1" applyAlignment="1">
      <x:alignment horizontal="center" vertical="center" wrapText="1"/>
    </x:xf>
    <x:xf numFmtId="0" fontId="14" fillId="25" borderId="15" xfId="0" applyNumberFormat="1" applyFont="1" applyFill="1" applyBorder="1" applyAlignment="1">
      <x:alignment horizontal="center" vertical="center" wrapText="1"/>
    </x:xf>
    <x:xf numFmtId="0" fontId="14" fillId="26" borderId="15" xfId="0" applyNumberFormat="1" applyFont="1" applyFill="1" applyBorder="1" applyAlignment="1">
      <x:alignment horizontal="center" vertical="center" wrapText="1"/>
    </x:xf>
    <x:xf numFmtId="0" fontId="12" fillId="27" borderId="15" xfId="0" applyNumberFormat="1" applyFont="1" applyFill="1" applyBorder="1" applyAlignment="1">
      <x:alignment horizontal="center" vertical="center" wrapText="1"/>
    </x:xf>
    <x:xf numFmtId="0" fontId="12" fillId="28" borderId="15" xfId="0" applyNumberFormat="1" applyFont="1" applyFill="1" applyBorder="1" applyAlignment="1">
      <x:alignment horizontal="center" vertical="center" wrapText="1"/>
    </x:xf>
    <x:xf numFmtId="0" fontId="14" fillId="29" borderId="15" xfId="0" applyNumberFormat="1" applyFont="1" applyFill="1" applyBorder="1" applyAlignment="1">
      <x:alignment horizontal="center" vertical="center" wrapText="1"/>
    </x:xf>
    <x:xf numFmtId="0" fontId="14" fillId="30" borderId="15" xfId="0" applyNumberFormat="1" applyFont="1" applyFill="1" applyBorder="1" applyAlignment="1">
      <x:alignment horizontal="center" vertical="center" wrapText="1"/>
    </x:xf>
    <x:xf numFmtId="0" fontId="12" fillId="31" borderId="15" xfId="0" applyNumberFormat="1" applyFont="1" applyFill="1" applyBorder="1" applyAlignment="1">
      <x:alignment horizontal="center" vertical="center" wrapText="1"/>
    </x:xf>
    <x:xf numFmtId="0" fontId="12" fillId="32" borderId="15" xfId="0" applyNumberFormat="1" applyFont="1" applyFill="1" applyBorder="1" applyAlignment="1">
      <x:alignment horizontal="center" vertical="center" wrapText="1"/>
    </x:xf>
    <x:xf numFmtId="0" fontId="14" fillId="33" borderId="15" xfId="0" applyNumberFormat="1" applyFont="1" applyFill="1" applyBorder="1" applyAlignment="1">
      <x:alignment horizontal="center" vertical="center" wrapText="1"/>
    </x:xf>
    <x:xf numFmtId="0" fontId="14" fillId="34" borderId="15" xfId="0" applyNumberFormat="1" applyFont="1" applyFill="1" applyBorder="1" applyAlignment="1">
      <x:alignment horizontal="center" vertical="center" wrapText="1"/>
    </x:xf>
    <x:xf numFmtId="0" fontId="12" fillId="35" borderId="15" xfId="0" applyNumberFormat="1" applyFont="1" applyFill="1" applyBorder="1" applyAlignment="1">
      <x:alignment horizontal="center" vertical="center" wrapText="1"/>
    </x:xf>
    <x:xf numFmtId="0" fontId="12" fillId="36" borderId="15" xfId="0" applyNumberFormat="1" applyFont="1" applyFill="1" applyBorder="1" applyAlignment="1">
      <x:alignment horizontal="center" vertical="center" wrapText="1"/>
    </x:xf>
    <x:xf numFmtId="0" fontId="14" fillId="37" borderId="15" xfId="0" applyNumberFormat="1" applyFont="1" applyFill="1" applyBorder="1" applyAlignment="1">
      <x:alignment horizontal="center" vertical="center" wrapText="1"/>
    </x:xf>
    <x:xf numFmtId="0" fontId="14" fillId="38" borderId="15" xfId="0" applyNumberFormat="1" applyFont="1" applyFill="1" applyBorder="1" applyAlignment="1">
      <x:alignment horizontal="center" vertical="center" wrapText="1"/>
    </x:xf>
    <x:xf numFmtId="0" fontId="12" fillId="39" borderId="15" xfId="0" applyNumberFormat="1" applyFont="1" applyFill="1" applyBorder="1" applyAlignment="1">
      <x:alignment horizontal="center" vertical="center" wrapText="1"/>
    </x:xf>
    <x:xf numFmtId="0" fontId="12" fillId="40" borderId="15" xfId="0" applyNumberFormat="1" applyFont="1" applyFill="1" applyBorder="1" applyAlignment="1">
      <x:alignment horizontal="center" vertical="center" wrapText="1"/>
    </x:xf>
    <x:xf numFmtId="0" fontId="14" fillId="41" borderId="15" xfId="0" applyNumberFormat="1" applyFont="1" applyFill="1" applyBorder="1" applyAlignment="1">
      <x:alignment horizontal="center" vertical="center" wrapText="1"/>
    </x:xf>
    <x:xf numFmtId="0" fontId="14" fillId="42" borderId="15" xfId="0" applyNumberFormat="1" applyFont="1" applyFill="1" applyBorder="1" applyAlignment="1">
      <x:alignment horizontal="center" vertical="center" wrapText="1"/>
    </x:xf>
    <x:xf numFmtId="0" fontId="12" fillId="43" borderId="15" xfId="0" applyNumberFormat="1" applyFont="1" applyFill="1" applyBorder="1" applyAlignment="1">
      <x:alignment horizontal="center" vertical="center" wrapText="1"/>
    </x:xf>
    <x:xf numFmtId="0" fontId="12" fillId="44" borderId="15" xfId="0" applyNumberFormat="1" applyFont="1" applyFill="1" applyBorder="1" applyAlignment="1">
      <x:alignment horizontal="center" vertical="center" wrapText="1"/>
    </x:xf>
    <x:xf numFmtId="0" fontId="14" fillId="45" borderId="15" xfId="0" applyNumberFormat="1" applyFont="1" applyFill="1" applyBorder="1" applyAlignment="1">
      <x:alignment horizontal="center" vertical="center" wrapText="1"/>
    </x:xf>
    <x:xf numFmtId="0" fontId="14" fillId="46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12" fillId="47" borderId="16" xfId="0" applyNumberFormat="1" applyFont="1" applyFill="1" applyBorder="1" applyAlignment="1">
      <x:alignment horizontal="center" vertical="center" wrapText="1"/>
    </x:xf>
    <x:xf numFmtId="0" fontId="12" fillId="48" borderId="16" xfId="0" applyNumberFormat="1" applyFont="1" applyFill="1" applyBorder="1" applyAlignment="1">
      <x:alignment horizontal="center" vertical="center" wrapText="1"/>
    </x:xf>
    <x:xf numFmtId="0" fontId="14" fillId="49" borderId="16" xfId="0" applyNumberFormat="1" applyFont="1" applyFill="1" applyBorder="1" applyAlignment="1">
      <x:alignment horizontal="center" vertical="center" wrapText="1"/>
    </x:xf>
    <x:xf numFmtId="0" fontId="14" fillId="50" borderId="16" xfId="0" applyNumberFormat="1" applyFont="1" applyFill="1" applyBorder="1" applyAlignment="1">
      <x:alignment horizontal="center"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0" fontId="9" fillId="7" borderId="14" xfId="0" applyNumberFormat="1" applyFont="1" applyFill="1" applyBorder="1" applyAlignment="1">
      <x:alignment vertical="center" wrapText="1"/>
    </x:xf>
    <x:xf numFmtId="0" fontId="9" fillId="7" borderId="15" xfId="0" applyNumberFormat="1" applyFont="1" applyFill="1" applyBorder="1" applyAlignment="1">
      <x:alignment vertical="center" wrapText="1"/>
    </x:xf>
    <x:xf numFmtId="0" fontId="9" fillId="7" borderId="16" xfId="0" applyNumberFormat="1" applyFont="1" applyFill="1" applyBorder="1" applyAlignment="1">
      <x:alignment vertical="center" wrapText="1"/>
    </x:xf>
    <x:xf numFmtId="0" fontId="9" fillId="7" borderId="14" xfId="0" applyNumberFormat="1" applyFont="1" applyFill="1" applyBorder="1" applyAlignment="1">
      <x:alignment horizontal="center" vertical="center" wrapText="1"/>
    </x:xf>
    <x:xf numFmtId="0" fontId="9" fillId="7" borderId="15" xfId="0" applyNumberFormat="1" applyFont="1" applyFill="1" applyBorder="1" applyAlignment="1">
      <x:alignment horizontal="center" vertical="center" wrapText="1"/>
    </x:xf>
    <x:xf numFmtId="0" fontId="9" fillId="7" borderId="16" xfId="0" applyNumberFormat="1" applyFont="1" applyFill="1" applyBorder="1" applyAlignment="1">
      <x:alignment horizontal="center" vertical="center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14" fillId="6" borderId="14" xfId="0" applyNumberFormat="1" applyFont="1" applyFill="1" applyBorder="1" applyAlignment="1">
      <x:alignment vertical="top" wrapText="1"/>
    </x:xf>
    <x:xf numFmtId="0" fontId="14" fillId="6" borderId="15" xfId="0" applyNumberFormat="1" applyFont="1" applyFill="1" applyBorder="1" applyAlignment="1">
      <x:alignment vertical="top" wrapText="1"/>
    </x:xf>
    <x:xf numFmtId="0" fontId="14" fillId="6" borderId="16" xfId="0" applyNumberFormat="1" applyFont="1" applyFill="1" applyBorder="1" applyAlignment="1">
      <x:alignment vertical="top" wrapText="1"/>
    </x:xf>
    <x:xf numFmtId="0" fontId="14" fillId="6" borderId="14" xfId="0" applyNumberFormat="1" applyFont="1" applyFill="1" applyBorder="1" applyAlignment="1">
      <x:alignment vertical="center" wrapText="1"/>
    </x:xf>
    <x:xf numFmtId="0" fontId="14" fillId="6" borderId="15" xfId="0" applyNumberFormat="1" applyFont="1" applyFill="1" applyBorder="1" applyAlignment="1">
      <x:alignment vertical="center" wrapText="1"/>
    </x:xf>
    <x:xf numFmtId="0" fontId="14" fillId="6" borderId="16" xfId="0" applyNumberFormat="1" applyFont="1" applyFill="1" applyBorder="1" applyAlignment="1">
      <x:alignment vertical="center" wrapText="1"/>
    </x:xf>
    <x:xf numFmtId="0" fontId="9" fillId="7" borderId="14" xfId="0" applyNumberFormat="1" applyFont="1" applyFill="1" applyBorder="1" applyAlignment="1">
      <x:alignment vertical="top" wrapText="1"/>
    </x:xf>
    <x:xf numFmtId="0" fontId="9" fillId="7" borderId="15" xfId="0" applyNumberFormat="1" applyFont="1" applyFill="1" applyBorder="1" applyAlignment="1">
      <x:alignment vertical="top" wrapText="1"/>
    </x:xf>
    <x:xf numFmtId="0" fontId="9" fillId="7" borderId="16" xfId="0" applyNumberFormat="1" applyFont="1" applyFill="1" applyBorder="1" applyAlignment="1">
      <x:alignment vertical="top" wrapText="1"/>
    </x:xf>
    <x:xf numFmtId="0" fontId="15" fillId="2" borderId="0" xfId="0" applyNumberFormat="1" applyFont="1" applyFill="1" applyBorder="1" applyAlignment="1">
      <x:alignment horizontal="left" vertical="center"/>
    </x:xf>
    <x:xf numFmtId="0" fontId="16" fillId="4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19" fillId="5" borderId="4" xfId="0" applyNumberFormat="1" applyFont="1" applyFill="1" applyBorder="1" applyAlignment="1">
      <x:alignment horizontal="center" vertical="center"/>
    </x:xf>
    <x:xf numFmtId="201" fontId="19" fillId="5" borderId="4" xfId="0" applyNumberFormat="1" applyFont="1" applyFill="1" applyBorder="1" applyAlignment="1">
      <x:alignment horizontal="center" vertical="center"/>
    </x:xf>
    <x:xf numFmtId="0" fontId="20" fillId="6" borderId="0" xfId="0" applyNumberFormat="1" applyFont="1" applyFill="1" applyBorder="1"/>
    <x:xf numFmtId="0" fontId="21" fillId="4" borderId="5" xfId="0" applyNumberFormat="1" applyFont="1" applyFill="1" applyBorder="1" applyAlignment="1">
      <x:alignment horizontal="center" vertical="center"/>
    </x:xf>
    <x:xf numFmtId="0" fontId="22" fillId="7" borderId="6" xfId="0" applyNumberFormat="1" applyFont="1" applyFill="1" applyBorder="1" applyAlignment="1">
      <x:alignment vertical="center"/>
    </x:xf>
    <x:xf numFmtId="0" fontId="17" fillId="3" borderId="7" xfId="0" applyNumberFormat="1" applyFont="1" applyFill="1" applyBorder="1" applyAlignment="1">
      <x:alignment vertical="center" wrapText="1"/>
    </x:xf>
    <x:xf numFmtId="0" fontId="21" fillId="4" borderId="8" xfId="0" applyNumberFormat="1" applyFont="1" applyFill="1" applyBorder="1" applyAlignment="1">
      <x:alignment horizontal="center" vertical="center"/>
    </x:xf>
    <x:xf numFmtId="0" fontId="22" fillId="7" borderId="9" xfId="0" applyNumberFormat="1" applyFont="1" applyFill="1" applyBorder="1" applyAlignment="1">
      <x:alignment vertical="center"/>
    </x:xf>
    <x:xf numFmtId="0" fontId="17" fillId="3" borderId="10" xfId="0" applyNumberFormat="1" applyFont="1" applyFill="1" applyBorder="1" applyAlignment="1">
      <x:alignment vertical="center" wrapText="1"/>
    </x:xf>
    <x:xf numFmtId="0" fontId="21" fillId="4" borderId="11" xfId="0" applyNumberFormat="1" applyFont="1" applyFill="1" applyBorder="1" applyAlignment="1">
      <x:alignment horizontal="center" vertical="center"/>
    </x:xf>
    <x:xf numFmtId="0" fontId="22" fillId="7" borderId="12" xfId="0" applyNumberFormat="1" applyFont="1" applyFill="1" applyBorder="1" applyAlignment="1">
      <x:alignment vertical="center"/>
    </x:xf>
    <x:xf numFmtId="0" fontId="17" fillId="3" borderId="13" xfId="0" applyNumberFormat="1" applyFont="1" applyFill="1" applyBorder="1" applyAlignment="1">
      <x:alignment vertical="center" wrapText="1"/>
    </x:xf>
    <x:xf numFmtId="0" fontId="20" fillId="8" borderId="0" xfId="0" applyNumberFormat="1" applyFont="1" applyFill="1" applyBorder="1"/>
    <x:xf numFmtId="0" fontId="17" fillId="0" borderId="5" xfId="0" applyNumberFormat="1" applyFont="1" applyFill="1" applyBorder="1" applyAlignment="1">
      <x:alignment vertical="center" wrapText="1"/>
    </x:xf>
    <x:xf numFmtId="0" fontId="17" fillId="0" borderId="6" xfId="0" applyNumberFormat="1" applyFont="1" applyFill="1" applyBorder="1" applyAlignment="1">
      <x:alignment vertical="center" wrapText="1"/>
    </x:xf>
    <x:xf numFmtId="0" fontId="17" fillId="0" borderId="7" xfId="0" applyNumberFormat="1" applyFont="1" applyFill="1" applyBorder="1" applyAlignment="1">
      <x:alignment vertical="center" wrapText="1"/>
    </x:xf>
    <x:xf numFmtId="0" fontId="17" fillId="0" borderId="8" xfId="0" applyNumberFormat="1" applyFont="1" applyFill="1" applyBorder="1" applyAlignment="1">
      <x:alignment vertical="center" wrapText="1"/>
    </x:xf>
    <x:xf numFmtId="0" fontId="17" fillId="0" borderId="9" xfId="0" applyNumberFormat="1" applyFont="1" applyFill="1" applyBorder="1" applyAlignment="1">
      <x:alignment vertical="center" wrapText="1"/>
    </x:xf>
    <x:xf numFmtId="0" fontId="17" fillId="0" borderId="10" xfId="0" applyNumberFormat="1" applyFont="1" applyFill="1" applyBorder="1" applyAlignment="1">
      <x:alignment vertical="center" wrapText="1"/>
    </x:xf>
    <x:xf numFmtId="0" fontId="17" fillId="0" borderId="11" xfId="0" applyNumberFormat="1" applyFont="1" applyFill="1" applyBorder="1" applyAlignment="1">
      <x:alignment vertical="center" wrapText="1"/>
    </x:xf>
    <x:xf numFmtId="0" fontId="17" fillId="0" borderId="12" xfId="0" applyNumberFormat="1" applyFont="1" applyFill="1" applyBorder="1" applyAlignment="1">
      <x:alignment vertical="center" wrapText="1"/>
    </x:xf>
    <x:xf numFmtId="0" fontId="17" fillId="0" borderId="13" xfId="0" applyNumberFormat="1" applyFont="1" applyFill="1" applyBorder="1" applyAlignment="1">
      <x:alignment vertical="center" wrapText="1"/>
    </x:xf>
    <x:xf numFmtId="0" fontId="23" fillId="9" borderId="0" xfId="0" applyNumberFormat="1" applyFont="1" applyFill="1" applyBorder="1"/>
    <x:xf numFmtId="0" fontId="22" fillId="10" borderId="5" xfId="0" applyNumberFormat="1" applyFont="1" applyFill="1" applyBorder="1" applyAlignment="1">
      <x:alignment vertical="center"/>
    </x:xf>
    <x:xf numFmtId="0" fontId="22" fillId="10" borderId="8" xfId="0" applyNumberFormat="1" applyFont="1" applyFill="1" applyBorder="1" applyAlignment="1">
      <x:alignment vertical="center"/>
    </x:xf>
    <x:xf numFmtId="0" fontId="22" fillId="10" borderId="11" xfId="0" applyNumberFormat="1" applyFont="1" applyFill="1" applyBorder="1" applyAlignment="1">
      <x:alignment vertical="center"/>
    </x:xf>
    <x:xf numFmtId="0" fontId="24" fillId="2" borderId="0" xfId="0" applyNumberFormat="1" applyFont="1" applyFill="1" applyBorder="1" applyAlignment="1">
      <x:alignment vertical="center"/>
    </x:xf>
    <x:xf numFmtId="0" fontId="25" fillId="4" borderId="0" xfId="0" applyNumberFormat="1" applyFont="1" applyFill="1" applyBorder="1" applyAlignment="1">
      <x:alignment horizontal="center" vertical="center" wrapText="1"/>
    </x:xf>
    <x:xf numFmtId="0" fontId="26" fillId="7" borderId="14" xfId="0" applyNumberFormat="1" applyFont="1" applyFill="1" applyBorder="1" applyAlignment="1">
      <x:alignment horizontal="center" vertical="center" wrapText="1"/>
    </x:xf>
    <x:xf numFmtId="0" fontId="17" fillId="0" borderId="14" xfId="0" applyNumberFormat="1" applyFont="1" applyFill="1" applyBorder="1" applyAlignment="1">
      <x:alignment vertical="top" wrapText="1"/>
    </x:xf>
    <x:xf numFmtId="0" fontId="17" fillId="0" borderId="14" xfId="0" applyNumberFormat="1" applyFont="1" applyFill="1" applyBorder="1" applyAlignment="1">
      <x:alignment horizontal="center" vertical="top" wrapText="1"/>
    </x:xf>
    <x:xf numFmtId="202" fontId="17" fillId="0" borderId="14" xfId="0" applyNumberFormat="1" applyFont="1" applyFill="1" applyBorder="1" applyAlignment="1">
      <x:alignment horizontal="center" vertical="top" wrapText="1"/>
    </x:xf>
    <x:xf numFmtId="201" fontId="17" fillId="0" borderId="14" xfId="0" applyNumberFormat="1" applyFont="1" applyFill="1" applyBorder="1" applyAlignment="1">
      <x:alignment horizontal="center" vertical="top" wrapText="1"/>
    </x:xf>
    <x:xf numFmtId="0" fontId="26" fillId="7" borderId="15" xfId="0" applyNumberFormat="1" applyFont="1" applyFill="1" applyBorder="1" applyAlignment="1">
      <x:alignment horizontal="center" vertical="center" wrapText="1"/>
    </x:xf>
    <x:xf numFmtId="0" fontId="17" fillId="0" borderId="15" xfId="0" applyNumberFormat="1" applyFont="1" applyFill="1" applyBorder="1" applyAlignment="1">
      <x:alignment vertical="top" wrapText="1"/>
    </x:xf>
    <x:xf numFmtId="0" fontId="17" fillId="0" borderId="15" xfId="0" applyNumberFormat="1" applyFont="1" applyFill="1" applyBorder="1" applyAlignment="1">
      <x:alignment horizontal="center" vertical="top" wrapText="1"/>
    </x:xf>
    <x:xf numFmtId="202" fontId="17" fillId="0" borderId="15" xfId="0" applyNumberFormat="1" applyFont="1" applyFill="1" applyBorder="1" applyAlignment="1">
      <x:alignment horizontal="center" vertical="top" wrapText="1"/>
    </x:xf>
    <x:xf numFmtId="201" fontId="17" fillId="0" borderId="15" xfId="0" applyNumberFormat="1" applyFont="1" applyFill="1" applyBorder="1" applyAlignment="1">
      <x:alignment horizontal="center" vertical="top" wrapText="1"/>
    </x:xf>
    <x:xf numFmtId="0" fontId="26" fillId="7" borderId="16" xfId="0" applyNumberFormat="1" applyFont="1" applyFill="1" applyBorder="1" applyAlignment="1">
      <x:alignment horizontal="center" vertical="center" wrapText="1"/>
    </x:xf>
    <x:xf numFmtId="0" fontId="17" fillId="0" borderId="16" xfId="0" applyNumberFormat="1" applyFont="1" applyFill="1" applyBorder="1" applyAlignment="1">
      <x:alignment vertical="top" wrapText="1"/>
    </x:xf>
    <x:xf numFmtId="0" fontId="17" fillId="0" borderId="16" xfId="0" applyNumberFormat="1" applyFont="1" applyFill="1" applyBorder="1" applyAlignment="1">
      <x:alignment horizontal="center" vertical="top" wrapText="1"/>
    </x:xf>
    <x:xf numFmtId="202" fontId="17" fillId="0" borderId="16" xfId="0" applyNumberFormat="1" applyFont="1" applyFill="1" applyBorder="1" applyAlignment="1">
      <x:alignment horizontal="center" vertical="top" wrapText="1"/>
    </x:xf>
    <x:xf numFmtId="201" fontId="17" fillId="0" borderId="16" xfId="0" applyNumberFormat="1" applyFont="1" applyFill="1" applyBorder="1" applyAlignment="1">
      <x:alignment horizontal="center" vertical="top" wrapText="1"/>
    </x:xf>
    <x:xf numFmtId="0" fontId="22" fillId="7" borderId="14" xfId="0" applyNumberFormat="1" applyFont="1" applyFill="1" applyBorder="1" applyAlignment="1">
      <x:alignment horizontal="center" vertical="center" wrapText="1"/>
    </x:xf>
    <x:xf numFmtId="0" fontId="17" fillId="0" borderId="14" xfId="0" applyNumberFormat="1" applyFont="1" applyFill="1" applyBorder="1" applyAlignment="1">
      <x:alignment vertical="center" wrapText="1"/>
    </x:xf>
    <x:xf numFmtId="0" fontId="25" fillId="11" borderId="14" xfId="0" applyNumberFormat="1" applyFont="1" applyFill="1" applyBorder="1" applyAlignment="1">
      <x:alignment horizontal="center" vertical="center" wrapText="1"/>
    </x:xf>
    <x:xf numFmtId="0" fontId="25" fillId="12" borderId="14" xfId="0" applyNumberFormat="1" applyFont="1" applyFill="1" applyBorder="1" applyAlignment="1">
      <x:alignment horizontal="center" vertical="center" wrapText="1"/>
    </x:xf>
    <x:xf numFmtId="0" fontId="27" fillId="13" borderId="14" xfId="0" applyNumberFormat="1" applyFont="1" applyFill="1" applyBorder="1" applyAlignment="1">
      <x:alignment horizontal="center" vertical="center" wrapText="1"/>
    </x:xf>
    <x:xf numFmtId="0" fontId="27" fillId="14" borderId="14" xfId="0" applyNumberFormat="1" applyFont="1" applyFill="1" applyBorder="1" applyAlignment="1">
      <x:alignment horizontal="center" vertical="center" wrapText="1"/>
    </x:xf>
    <x:xf numFmtId="0" fontId="22" fillId="7" borderId="15" xfId="0" applyNumberFormat="1" applyFont="1" applyFill="1" applyBorder="1" applyAlignment="1">
      <x:alignment horizontal="center" vertical="center" wrapText="1"/>
    </x:xf>
    <x:xf numFmtId="0" fontId="17" fillId="0" borderId="15" xfId="0" applyNumberFormat="1" applyFont="1" applyFill="1" applyBorder="1" applyAlignment="1">
      <x:alignment vertical="center" wrapText="1"/>
    </x:xf>
    <x:xf numFmtId="0" fontId="25" fillId="15" borderId="15" xfId="0" applyNumberFormat="1" applyFont="1" applyFill="1" applyBorder="1" applyAlignment="1">
      <x:alignment horizontal="center" vertical="center" wrapText="1"/>
    </x:xf>
    <x:xf numFmtId="0" fontId="25" fillId="16" borderId="15" xfId="0" applyNumberFormat="1" applyFont="1" applyFill="1" applyBorder="1" applyAlignment="1">
      <x:alignment horizontal="center" vertical="center" wrapText="1"/>
    </x:xf>
    <x:xf numFmtId="0" fontId="27" fillId="17" borderId="15" xfId="0" applyNumberFormat="1" applyFont="1" applyFill="1" applyBorder="1" applyAlignment="1">
      <x:alignment horizontal="center" vertical="center" wrapText="1"/>
    </x:xf>
    <x:xf numFmtId="0" fontId="27" fillId="18" borderId="15" xfId="0" applyNumberFormat="1" applyFont="1" applyFill="1" applyBorder="1" applyAlignment="1">
      <x:alignment horizontal="center" vertical="center" wrapText="1"/>
    </x:xf>
    <x:xf numFmtId="0" fontId="25" fillId="19" borderId="15" xfId="0" applyNumberFormat="1" applyFont="1" applyFill="1" applyBorder="1" applyAlignment="1">
      <x:alignment horizontal="center" vertical="center" wrapText="1"/>
    </x:xf>
    <x:xf numFmtId="0" fontId="25" fillId="20" borderId="15" xfId="0" applyNumberFormat="1" applyFont="1" applyFill="1" applyBorder="1" applyAlignment="1">
      <x:alignment horizontal="center" vertical="center" wrapText="1"/>
    </x:xf>
    <x:xf numFmtId="0" fontId="27" fillId="21" borderId="15" xfId="0" applyNumberFormat="1" applyFont="1" applyFill="1" applyBorder="1" applyAlignment="1">
      <x:alignment horizontal="center" vertical="center" wrapText="1"/>
    </x:xf>
    <x:xf numFmtId="0" fontId="27" fillId="22" borderId="15" xfId="0" applyNumberFormat="1" applyFont="1" applyFill="1" applyBorder="1" applyAlignment="1">
      <x:alignment horizontal="center" vertical="center" wrapText="1"/>
    </x:xf>
    <x:xf numFmtId="0" fontId="25" fillId="23" borderId="15" xfId="0" applyNumberFormat="1" applyFont="1" applyFill="1" applyBorder="1" applyAlignment="1">
      <x:alignment horizontal="center" vertical="center" wrapText="1"/>
    </x:xf>
    <x:xf numFmtId="0" fontId="25" fillId="24" borderId="15" xfId="0" applyNumberFormat="1" applyFont="1" applyFill="1" applyBorder="1" applyAlignment="1">
      <x:alignment horizontal="center" vertical="center" wrapText="1"/>
    </x:xf>
    <x:xf numFmtId="0" fontId="27" fillId="25" borderId="15" xfId="0" applyNumberFormat="1" applyFont="1" applyFill="1" applyBorder="1" applyAlignment="1">
      <x:alignment horizontal="center" vertical="center" wrapText="1"/>
    </x:xf>
    <x:xf numFmtId="0" fontId="27" fillId="26" borderId="15" xfId="0" applyNumberFormat="1" applyFont="1" applyFill="1" applyBorder="1" applyAlignment="1">
      <x:alignment horizontal="center" vertical="center" wrapText="1"/>
    </x:xf>
    <x:xf numFmtId="0" fontId="25" fillId="27" borderId="15" xfId="0" applyNumberFormat="1" applyFont="1" applyFill="1" applyBorder="1" applyAlignment="1">
      <x:alignment horizontal="center" vertical="center" wrapText="1"/>
    </x:xf>
    <x:xf numFmtId="0" fontId="25" fillId="28" borderId="15" xfId="0" applyNumberFormat="1" applyFont="1" applyFill="1" applyBorder="1" applyAlignment="1">
      <x:alignment horizontal="center" vertical="center" wrapText="1"/>
    </x:xf>
    <x:xf numFmtId="0" fontId="27" fillId="29" borderId="15" xfId="0" applyNumberFormat="1" applyFont="1" applyFill="1" applyBorder="1" applyAlignment="1">
      <x:alignment horizontal="center" vertical="center" wrapText="1"/>
    </x:xf>
    <x:xf numFmtId="0" fontId="27" fillId="30" borderId="15" xfId="0" applyNumberFormat="1" applyFont="1" applyFill="1" applyBorder="1" applyAlignment="1">
      <x:alignment horizontal="center" vertical="center" wrapText="1"/>
    </x:xf>
    <x:xf numFmtId="0" fontId="25" fillId="31" borderId="15" xfId="0" applyNumberFormat="1" applyFont="1" applyFill="1" applyBorder="1" applyAlignment="1">
      <x:alignment horizontal="center" vertical="center" wrapText="1"/>
    </x:xf>
    <x:xf numFmtId="0" fontId="25" fillId="32" borderId="15" xfId="0" applyNumberFormat="1" applyFont="1" applyFill="1" applyBorder="1" applyAlignment="1">
      <x:alignment horizontal="center" vertical="center" wrapText="1"/>
    </x:xf>
    <x:xf numFmtId="0" fontId="27" fillId="33" borderId="15" xfId="0" applyNumberFormat="1" applyFont="1" applyFill="1" applyBorder="1" applyAlignment="1">
      <x:alignment horizontal="center" vertical="center" wrapText="1"/>
    </x:xf>
    <x:xf numFmtId="0" fontId="27" fillId="34" borderId="15" xfId="0" applyNumberFormat="1" applyFont="1" applyFill="1" applyBorder="1" applyAlignment="1">
      <x:alignment horizontal="center" vertical="center" wrapText="1"/>
    </x:xf>
    <x:xf numFmtId="0" fontId="25" fillId="35" borderId="15" xfId="0" applyNumberFormat="1" applyFont="1" applyFill="1" applyBorder="1" applyAlignment="1">
      <x:alignment horizontal="center" vertical="center" wrapText="1"/>
    </x:xf>
    <x:xf numFmtId="0" fontId="25" fillId="36" borderId="15" xfId="0" applyNumberFormat="1" applyFont="1" applyFill="1" applyBorder="1" applyAlignment="1">
      <x:alignment horizontal="center" vertical="center" wrapText="1"/>
    </x:xf>
    <x:xf numFmtId="0" fontId="27" fillId="37" borderId="15" xfId="0" applyNumberFormat="1" applyFont="1" applyFill="1" applyBorder="1" applyAlignment="1">
      <x:alignment horizontal="center" vertical="center" wrapText="1"/>
    </x:xf>
    <x:xf numFmtId="0" fontId="27" fillId="38" borderId="15" xfId="0" applyNumberFormat="1" applyFont="1" applyFill="1" applyBorder="1" applyAlignment="1">
      <x:alignment horizontal="center" vertical="center" wrapText="1"/>
    </x:xf>
    <x:xf numFmtId="0" fontId="25" fillId="39" borderId="15" xfId="0" applyNumberFormat="1" applyFont="1" applyFill="1" applyBorder="1" applyAlignment="1">
      <x:alignment horizontal="center" vertical="center" wrapText="1"/>
    </x:xf>
    <x:xf numFmtId="0" fontId="25" fillId="40" borderId="15" xfId="0" applyNumberFormat="1" applyFont="1" applyFill="1" applyBorder="1" applyAlignment="1">
      <x:alignment horizontal="center" vertical="center" wrapText="1"/>
    </x:xf>
    <x:xf numFmtId="0" fontId="27" fillId="41" borderId="15" xfId="0" applyNumberFormat="1" applyFont="1" applyFill="1" applyBorder="1" applyAlignment="1">
      <x:alignment horizontal="center" vertical="center" wrapText="1"/>
    </x:xf>
    <x:xf numFmtId="0" fontId="27" fillId="42" borderId="15" xfId="0" applyNumberFormat="1" applyFont="1" applyFill="1" applyBorder="1" applyAlignment="1">
      <x:alignment horizontal="center" vertical="center" wrapText="1"/>
    </x:xf>
    <x:xf numFmtId="0" fontId="25" fillId="43" borderId="15" xfId="0" applyNumberFormat="1" applyFont="1" applyFill="1" applyBorder="1" applyAlignment="1">
      <x:alignment horizontal="center" vertical="center" wrapText="1"/>
    </x:xf>
    <x:xf numFmtId="0" fontId="25" fillId="44" borderId="15" xfId="0" applyNumberFormat="1" applyFont="1" applyFill="1" applyBorder="1" applyAlignment="1">
      <x:alignment horizontal="center" vertical="center" wrapText="1"/>
    </x:xf>
    <x:xf numFmtId="0" fontId="27" fillId="45" borderId="15" xfId="0" applyNumberFormat="1" applyFont="1" applyFill="1" applyBorder="1" applyAlignment="1">
      <x:alignment horizontal="center" vertical="center" wrapText="1"/>
    </x:xf>
    <x:xf numFmtId="0" fontId="27" fillId="46" borderId="15" xfId="0" applyNumberFormat="1" applyFont="1" applyFill="1" applyBorder="1" applyAlignment="1">
      <x:alignment horizontal="center" vertical="center" wrapText="1"/>
    </x:xf>
    <x:xf numFmtId="0" fontId="22" fillId="7" borderId="16" xfId="0" applyNumberFormat="1" applyFont="1" applyFill="1" applyBorder="1" applyAlignment="1">
      <x:alignment horizontal="center" vertical="center" wrapText="1"/>
    </x:xf>
    <x:xf numFmtId="0" fontId="17" fillId="0" borderId="16" xfId="0" applyNumberFormat="1" applyFont="1" applyFill="1" applyBorder="1" applyAlignment="1">
      <x:alignment vertical="center" wrapText="1"/>
    </x:xf>
    <x:xf numFmtId="0" fontId="25" fillId="47" borderId="16" xfId="0" applyNumberFormat="1" applyFont="1" applyFill="1" applyBorder="1" applyAlignment="1">
      <x:alignment horizontal="center" vertical="center" wrapText="1"/>
    </x:xf>
    <x:xf numFmtId="0" fontId="25" fillId="48" borderId="16" xfId="0" applyNumberFormat="1" applyFont="1" applyFill="1" applyBorder="1" applyAlignment="1">
      <x:alignment horizontal="center" vertical="center" wrapText="1"/>
    </x:xf>
    <x:xf numFmtId="0" fontId="27" fillId="49" borderId="16" xfId="0" applyNumberFormat="1" applyFont="1" applyFill="1" applyBorder="1" applyAlignment="1">
      <x:alignment horizontal="center" vertical="center" wrapText="1"/>
    </x:xf>
    <x:xf numFmtId="0" fontId="27" fillId="50" borderId="16" xfId="0" applyNumberFormat="1" applyFont="1" applyFill="1" applyBorder="1" applyAlignment="1">
      <x:alignment horizontal="center" vertical="center" wrapText="1"/>
    </x:xf>
    <x:xf numFmtId="0" fontId="27" fillId="6" borderId="14" xfId="0" applyNumberFormat="1" applyFont="1" applyFill="1" applyBorder="1" applyAlignment="1">
      <x:alignment vertical="center" wrapText="1"/>
    </x:xf>
    <x:xf numFmtId="0" fontId="27" fillId="6" borderId="15" xfId="0" applyNumberFormat="1" applyFont="1" applyFill="1" applyBorder="1" applyAlignment="1">
      <x:alignment vertical="center" wrapText="1"/>
    </x:xf>
    <x:xf numFmtId="0" fontId="27" fillId="6" borderId="16" xfId="0" applyNumberFormat="1" applyFont="1" applyFill="1" applyBorder="1" applyAlignment="1">
      <x:alignment vertical="center" wrapText="1"/>
    </x:xf>
    <x:xf numFmtId="0" fontId="25" fillId="4" borderId="0" xfId="0" applyNumberFormat="1" applyFont="1" applyFill="1" applyBorder="1" applyAlignment="1">
      <x:alignment horizontal="center" wrapText="1"/>
    </x:xf>
    <x:xf numFmtId="0" fontId="22" fillId="7" borderId="14" xfId="0" applyNumberFormat="1" applyFont="1" applyFill="1" applyBorder="1" applyAlignment="1">
      <x:alignment vertical="center" wrapText="1"/>
    </x:xf>
    <x:xf numFmtId="0" fontId="22" fillId="7" borderId="15" xfId="0" applyNumberFormat="1" applyFont="1" applyFill="1" applyBorder="1" applyAlignment="1">
      <x:alignment vertical="center" wrapText="1"/>
    </x:xf>
    <x:xf numFmtId="0" fontId="22" fillId="7" borderId="16" xfId="0" applyNumberFormat="1" applyFont="1" applyFill="1" applyBorder="1" applyAlignment="1">
      <x:alignment vertical="center" wrapText="1"/>
    </x:xf>
    <x:xf numFmtId="0" fontId="28" fillId="2" borderId="1" xfId="0" applyNumberFormat="1" applyFont="1" applyFill="1" applyBorder="1" applyAlignment="1">
      <x:alignment horizontal="center" vertical="center" wrapText="1"/>
    </x:xf>
    <x:xf numFmtId="0" fontId="29" fillId="3" borderId="2" xfId="0" applyNumberFormat="1" applyFont="1" applyFill="1" applyBorder="1" applyAlignment="1">
      <x:alignment vertical="top" wrapText="1"/>
    </x:xf>
    <x:xf numFmtId="0" fontId="29" fillId="0" borderId="2" xfId="0" applyNumberFormat="1" applyFont="1" applyFill="1" applyBorder="1" applyAlignment="1">
      <x:alignment vertical="top" wrapText="1"/>
    </x:xf>
    <x:xf numFmtId="0" fontId="29" fillId="0" borderId="2" xfId="0" applyNumberFormat="1" applyFont="1" applyFill="1" applyBorder="1" applyAlignment="1">
      <x:alignment horizontal="center" vertical="top" wrapText="1"/>
    </x:xf>
    <x:xf numFmtId="200" fontId="29" fillId="0" borderId="2" xfId="0" applyNumberFormat="1" applyFont="1" applyFill="1" applyBorder="1" applyAlignment="1">
      <x:alignment horizontal="right" vertical="top" wrapText="1"/>
    </x:xf>
    <x:xf numFmtId="201" fontId="29" fillId="0" borderId="2" xfId="0" applyNumberFormat="1" applyFont="1" applyFill="1" applyBorder="1" applyAlignment="1">
      <x:alignment horizontal="right" vertical="top" wrapText="1"/>
    </x:xf>
    <x:xf numFmtId="0" fontId="29" fillId="3" borderId="3" xfId="0" applyNumberFormat="1" applyFont="1" applyFill="1" applyBorder="1" applyAlignment="1">
      <x:alignment vertical="top" wrapText="1"/>
    </x:xf>
    <x:xf numFmtId="0" fontId="29" fillId="0" borderId="3" xfId="0" applyNumberFormat="1" applyFont="1" applyFill="1" applyBorder="1" applyAlignment="1">
      <x:alignment vertical="top" wrapText="1"/>
    </x:xf>
    <x:xf numFmtId="0" fontId="29" fillId="0" borderId="3" xfId="0" applyNumberFormat="1" applyFont="1" applyFill="1" applyBorder="1" applyAlignment="1">
      <x:alignment horizontal="center" vertical="top" wrapText="1"/>
    </x:xf>
    <x:xf numFmtId="200" fontId="29" fillId="0" borderId="3" xfId="0" applyNumberFormat="1" applyFont="1" applyFill="1" applyBorder="1" applyAlignment="1">
      <x:alignment horizontal="right" vertical="top" wrapText="1"/>
    </x:xf>
    <x:xf numFmtId="201" fontId="29" fillId="0" borderId="3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8A1C25"/>
      </x:font>
      <x:fill>
        <x:patternFill patternType="solid">
          <x:bgColor rgb="FFF8D7DA"/>
        </x:patternFill>
      </x:fill>
    </x:dxf>
    <x:dxf>
      <x:font>
        <x:b/>
        <x:color rgb="FF7A5510"/>
      </x:font>
      <x:fill>
        <x:patternFill patternType="solid">
          <x:bgColor rgb="FFFFF0C2"/>
        </x:patternFill>
      </x:fill>
    </x:dxf>
    <x:dxf>
      <x:font>
        <x:color rgb="FF225B82"/>
      </x:font>
      <x:fill>
        <x:patternFill patternType="solid">
          <x:bgColor rgb="FFDDECF8"/>
        </x:patternFill>
      </x:fill>
    </x:dxf>
    <x:dxf>
      <x:font>
        <x:b/>
        <x:color rgb="FF246A43"/>
      </x:font>
      <x:fill>
        <x:patternFill patternType="solid">
          <x:bgColor rgb="FFD9F0E2"/>
        </x:patternFill>
      </x:fill>
    </x:dxf>
    <x:dxf>
      <x:font>
        <x:b/>
        <x:color rgb="FF246A43"/>
      </x:font>
      <x:fill>
        <x:patternFill patternType="solid">
          <x:bgColor rgb="FFD9F0E2"/>
        </x:patternFill>
      </x:fill>
    </x:dxf>
    <x:dxf>
      <x:font>
        <x:color rgb="FF7A551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d393e371948f4" /><Relationship Type="http://schemas.openxmlformats.org/officeDocument/2006/relationships/theme" Target="/xl/theme/theme1.xml" Id="R0ab444b24012454d" /><Relationship Type="http://schemas.openxmlformats.org/officeDocument/2006/relationships/sharedStrings" Target="/xl/sharedStrings.xml" Id="Raf15d5bd35454027" /><Relationship Type="http://schemas.openxmlformats.org/officeDocument/2006/relationships/worksheet" Target="/xl/worksheets/sheet1.xml" Id="R9d9153c7d6d348f2" /><Relationship Type="http://schemas.openxmlformats.org/officeDocument/2006/relationships/worksheet" Target="/xl/worksheets/sheet2.xml" Id="Rc9f0daece7e1484f" /><Relationship Type="http://schemas.openxmlformats.org/officeDocument/2006/relationships/worksheet" Target="/xl/worksheets/sheet3.xml" Id="Rec6d0e5a55e24b6d" /><Relationship Type="http://schemas.openxmlformats.org/officeDocument/2006/relationships/worksheet" Target="/xl/worksheets/sheet4.xml" Id="R6fbf4cf0197b4320" /><Relationship Type="http://schemas.openxmlformats.org/officeDocument/2006/relationships/worksheet" Target="/xl/worksheets/sheet5.xml" Id="Rf841c86cc35e4ebb" /><Relationship Type="http://schemas.openxmlformats.org/officeDocument/2006/relationships/worksheet" Target="/xl/worksheets/sheet6.xml" Id="R04e9401a03974cca" /></Relationships>
</file>

<file path=xl/tables/table1.xml><?xml version="1.0" encoding="utf-8"?>
<x:table xmlns:x="http://schemas.openxmlformats.org/spreadsheetml/2006/main" id="1" name="ArtMasterTable" displayName="ArtMasterTable" ref="A1:Q180" headerRowCount="1" totalsRowCount="0" totalsRowShown="0">
  <x:autoFilter ref="A1:Q180"/>
  <x:tableColumns count="17">
    <x:tableColumn id="1" name="资产 ID"/>
    <x:tableColumn id="2" name="关卡 / 系统"/>
    <x:tableColumn id="3" name="类别"/>
    <x:tableColumn id="4" name="资产名称"/>
    <x:tableColumn id="5" name="画面与叙事用途"/>
    <x:tableColumn id="6" name="内容 / 构图要求"/>
    <x:tableColumn id="7" name="状态 / 变体"/>
    <x:tableColumn id="8" name="动画 / VFX 要求"/>
    <x:tableColumn id="9" name="交付规格"/>
    <x:tableColumn id="10" name="复用组"/>
    <x:tableColumn id="11" name="优先级"/>
    <x:tableColumn id="12" name="里程碑"/>
    <x:tableColumn id="13" name="当前状态"/>
    <x:tableColumn id="14" name="数量"/>
    <x:tableColumn id="15" name="估算工日"/>
    <x:tableColumn id="16" name="负责人"/>
    <x:tableColumn id="17" name="依赖 / 验收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9c9d23d8c84f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18" hidden="0" customWidth="1"/>
    <x:col min="5" max="5" width="20" hidden="0" customWidth="1"/>
    <x:col min="6" max="6" width="18" hidden="0" customWidth="1"/>
    <x:col min="7" max="7" width="21" hidden="0" customWidth="1"/>
    <x:col min="8" max="8" width="18" hidden="0" customWidth="1"/>
  </x:cols>
  <x:sheetData>
    <x:row r="1">
      <x:c r="A1" s="394" t="str">
        <x:v>INFINITY TRAIN — FULL ART PRODUCTION LIST</x:v>
      </x:c>
      <x:c r="B1" s="394"/>
      <x:c r="C1" s="394"/>
      <x:c r="D1" s="394"/>
      <x:c r="E1" s="394"/>
      <x:c r="F1" s="394"/>
      <x:c r="G1" s="394"/>
      <x:c r="H1" s="394"/>
    </x:row>
    <x:row r="2">
      <x:c r="A2" s="394"/>
      <x:c r="B2" s="394"/>
      <x:c r="C2" s="394"/>
      <x:c r="D2" s="394"/>
      <x:c r="E2" s="394"/>
      <x:c r="F2" s="394"/>
      <x:c r="G2" s="394"/>
      <x:c r="H2" s="394"/>
    </x:row>
    <x:row r="3" ht="28" customHeight="1">
      <x:c r="A3" s="395" t="str">
        <x:v>十节车厢 × 单人异步合作 × 非战斗机制驱动叙事｜版本：2026-07-28</x:v>
      </x:c>
      <x:c r="B3" s="395"/>
      <x:c r="C3" s="395"/>
      <x:c r="D3" s="395"/>
      <x:c r="E3" s="395"/>
      <x:c r="F3" s="395"/>
      <x:c r="G3" s="395"/>
      <x:c r="H3" s="395"/>
    </x:row>
    <x:row r="4">
      <x:c r="A4" s="396"/>
      <x:c r="B4" s="396"/>
      <x:c r="C4" s="396"/>
      <x:c r="D4" s="396"/>
      <x:c r="E4" s="396"/>
      <x:c r="F4" s="396"/>
      <x:c r="G4" s="396"/>
      <x:c r="H4" s="396"/>
    </x:row>
    <x:row r="5">
      <x:c r="A5" s="397" t="str">
        <x:v>资产包</x:v>
      </x:c>
      <x:c r="B5" s="397" t="str"/>
      <x:c r="C5" s="397" t="str">
        <x:v>实际件数</x:v>
      </x:c>
      <x:c r="D5" s="397" t="str"/>
      <x:c r="E5" s="397" t="str">
        <x:v>估算工日</x:v>
      </x:c>
      <x:c r="F5" s="397" t="str"/>
      <x:c r="G5" s="397" t="str">
        <x:v>已有/已集成</x:v>
      </x:c>
      <x:c r="H5" s="397" t="str"/>
    </x:row>
    <x:row r="6" ht="44" customHeight="1">
      <x:c r="A6" s="398" t="n">
        <x:f>COUNTA('总资产 MASTER'!$A$2:$A$180)</x:f>
        <x:v>179</x:v>
      </x:c>
      <x:c r="B6" s="396"/>
      <x:c r="C6" s="398" t="n">
        <x:f>SUM('总资产 MASTER'!$N$2:$N$180)</x:f>
        <x:v>876</x:v>
      </x:c>
      <x:c r="D6" s="396"/>
      <x:c r="E6" s="399" t="n">
        <x:f>SUM('总资产 MASTER'!$O$2:$O$180)</x:f>
        <x:v>612</x:v>
      </x:c>
      <x:c r="F6" s="396"/>
      <x:c r="G6" s="398" t="n">
        <x:f>COUNTIF('总资产 MASTER'!$M$2:$M$180,"已完成")+COUNTIF('总资产 MASTER'!$M$2:$M$180,"已集成")</x:f>
        <x:v>10</x:v>
      </x:c>
      <x:c r="H6" s="396"/>
    </x:row>
    <x:row r="7">
      <x:c r="A7" s="396"/>
      <x:c r="B7" s="396"/>
      <x:c r="C7" s="396"/>
      <x:c r="D7" s="396"/>
      <x:c r="E7" s="396"/>
      <x:c r="F7" s="396"/>
      <x:c r="G7" s="396"/>
      <x:c r="H7" s="396"/>
    </x:row>
    <x:row r="8">
      <x:c r="A8" s="400" t="str">
        <x:v>先做什么：让画面“成立”的四个 P0 Gate</x:v>
      </x:c>
      <x:c r="B8" s="400"/>
      <x:c r="C8" s="400"/>
      <x:c r="D8" s="400"/>
      <x:c r="E8" s="400"/>
      <x:c r="F8" s="400"/>
      <x:c r="G8" s="400"/>
      <x:c r="H8" s="400"/>
    </x:row>
    <x:row r="9" ht="46" customHeight="1">
      <x:c r="A9" s="401" t="str">
        <x:v>1</x:v>
      </x:c>
      <x:c r="B9" s="402" t="str">
        <x:v>车窗 / 车厢骨架</x:v>
      </x:c>
      <x:c r="C9" s="403" t="str">
        <x:v>现有十张大背景必须被车窗、玻璃反光、室内前景包起来，才会像游戏世界。</x:v>
      </x:c>
      <x:c r="D9" s="396"/>
      <x:c r="E9" s="396"/>
      <x:c r="F9" s="396"/>
      <x:c r="G9" s="396"/>
      <x:c r="H9" s="396"/>
    </x:row>
    <x:row r="10" ht="46" customHeight="1">
      <x:c r="A10" s="404" t="str">
        <x:v>2</x:v>
      </x:c>
      <x:c r="B10" s="405" t="str">
        <x:v>主角与交互状态</x:v>
      </x:c>
      <x:c r="C10" s="406" t="str">
        <x:v>先替换临时猎人剪影；所有关键道具必须有未解、错误、进行中、完成四种视觉状态。</x:v>
      </x:c>
      <x:c r="D10" s="396"/>
      <x:c r="E10" s="396"/>
      <x:c r="F10" s="396"/>
      <x:c r="G10" s="396"/>
      <x:c r="H10" s="396"/>
    </x:row>
    <x:row r="11" ht="46" customHeight="1">
      <x:c r="A11" s="404" t="str">
        <x:v>3</x:v>
      </x:c>
      <x:c r="B11" s="405" t="str">
        <x:v>每关一个强视觉机制</x:v>
      </x:c>
      <x:c r="C11" s="406" t="str">
        <x:v>不要用十套敌人填内容；用电路、机器人、能源、频率、信号、绞盘、动物、生态、回放、规则重写制造差异。</x:v>
      </x:c>
      <x:c r="D11" s="396"/>
      <x:c r="E11" s="396"/>
      <x:c r="F11" s="396"/>
      <x:c r="G11" s="396"/>
      <x:c r="H11" s="396"/>
    </x:row>
    <x:row r="12" ht="46" customHeight="1">
      <x:c r="A12" s="407" t="str">
        <x:v>4</x:v>
      </x:c>
      <x:c r="B12" s="408" t="str">
        <x:v>完成态与转场</x:v>
      </x:c>
      <x:c r="C12" s="409" t="str">
        <x:v>每关解开后室内和窗外都要发生变化，并用门/材质蔓延自然进入下一车厢。</x:v>
      </x:c>
      <x:c r="D12" s="396"/>
      <x:c r="E12" s="396"/>
      <x:c r="F12" s="396"/>
      <x:c r="G12" s="396"/>
      <x:c r="H12" s="396"/>
    </x:row>
    <x:row r="13">
      <x:c r="A13" s="396"/>
      <x:c r="B13" s="396"/>
      <x:c r="C13" s="396"/>
      <x:c r="D13" s="396"/>
      <x:c r="E13" s="396"/>
      <x:c r="F13" s="396"/>
      <x:c r="G13" s="396"/>
      <x:c r="H13" s="396"/>
    </x:row>
    <x:row r="14">
      <x:c r="A14" s="410" t="str">
        <x:v>优先级与状态用法</x:v>
      </x:c>
      <x:c r="B14" s="410"/>
      <x:c r="C14" s="410"/>
      <x:c r="D14" s="410"/>
      <x:c r="E14" s="410"/>
      <x:c r="F14" s="410"/>
      <x:c r="G14" s="410"/>
      <x:c r="H14" s="410"/>
    </x:row>
    <x:row r="15" ht="32" customHeight="1">
      <x:c r="A15" s="411" t="str">
        <x:v>P0</x:v>
      </x:c>
      <x:c r="B15" s="412" t="str">
        <x:v>没有它就不能正确试玩 / 读懂机制</x:v>
      </x:c>
      <x:c r="C15" s="412" t="str">
        <x:v>P1</x:v>
      </x:c>
      <x:c r="D15" s="412" t="str">
        <x:v>完整游戏必须有</x:v>
      </x:c>
      <x:c r="E15" s="412" t="str">
        <x:v>P2</x:v>
      </x:c>
      <x:c r="F15" s="412" t="str">
        <x:v>饱满度与发布抛光</x:v>
      </x:c>
      <x:c r="G15" s="412" t="str">
        <x:v>P3</x:v>
      </x:c>
      <x:c r="H15" s="413" t="str">
        <x:v>有时间再做</x:v>
      </x:c>
    </x:row>
    <x:row r="16" ht="32" customHeight="1">
      <x:c r="A16" s="414" t="str">
        <x:v>待制作</x:v>
      </x:c>
      <x:c r="B16" s="415" t="str">
        <x:v>尚未开始</x:v>
      </x:c>
      <x:c r="C16" s="415" t="str">
        <x:v>原型已有</x:v>
      </x:c>
      <x:c r="D16" s="415" t="str">
        <x:v>代码里已有临时程序图形</x:v>
      </x:c>
      <x:c r="E16" s="415" t="str">
        <x:v>已集成</x:v>
      </x:c>
      <x:c r="F16" s="415" t="str">
        <x:v>已进入游戏且可运行</x:v>
      </x:c>
      <x:c r="G16" s="415" t="str">
        <x:v>已完成</x:v>
      </x:c>
      <x:c r="H16" s="416" t="str">
        <x:v>通过最终美术审核</x:v>
      </x:c>
    </x:row>
    <x:row r="17" ht="32" customHeight="1">
      <x:c r="A17" s="414" t="str">
        <x:v>M0</x:v>
      </x:c>
      <x:c r="B17" s="415" t="str">
        <x:v>视觉规范与骨架</x:v>
      </x:c>
      <x:c r="C17" s="415" t="str">
        <x:v>M1</x:v>
      </x:c>
      <x:c r="D17" s="415" t="str">
        <x:v>关卡 1–2 垂直切片</x:v>
      </x:c>
      <x:c r="E17" s="415" t="str">
        <x:v>M2</x:v>
      </x:c>
      <x:c r="F17" s="415" t="str">
        <x:v>共享角色/UI/VFX</x:v>
      </x:c>
      <x:c r="G17" s="415" t="str">
        <x:v>M3</x:v>
      </x:c>
      <x:c r="H17" s="416" t="str">
        <x:v>十关内容完整</x:v>
      </x:c>
    </x:row>
    <x:row r="18" ht="32" customHeight="1">
      <x:c r="A18" s="417" t="str">
        <x:v>M4</x:v>
      </x:c>
      <x:c r="B18" s="418" t="str">
        <x:v>环境循环、高潮、结局与发布图</x:v>
      </x:c>
      <x:c r="C18" s="418" t="str"/>
      <x:c r="D18" s="418" t="str"/>
      <x:c r="E18" s="418" t="str"/>
      <x:c r="F18" s="418" t="str"/>
      <x:c r="G18" s="418" t="str"/>
      <x:c r="H18" s="419" t="str"/>
    </x:row>
    <x:row r="19">
      <x:c r="A19" s="396"/>
      <x:c r="B19" s="396"/>
      <x:c r="C19" s="396"/>
      <x:c r="D19" s="396"/>
      <x:c r="E19" s="396"/>
      <x:c r="F19" s="396"/>
      <x:c r="G19" s="396"/>
      <x:c r="H19" s="396"/>
    </x:row>
    <x:row r="20">
      <x:c r="A20" s="420" t="str">
        <x:v>现有资产判断</x:v>
      </x:c>
      <x:c r="B20" s="420"/>
      <x:c r="C20" s="420"/>
      <x:c r="D20" s="420"/>
      <x:c r="E20" s="420"/>
      <x:c r="F20" s="420"/>
      <x:c r="G20" s="420"/>
      <x:c r="H20" s="420"/>
    </x:row>
    <x:row r="21">
      <x:c r="A21" s="421" t="str">
        <x:v>已有</x:v>
      </x:c>
      <x:c r="B21" s="412" t="str">
        <x:v>10 张世界全景 + 自动三切片加载管线</x:v>
      </x:c>
      <x:c r="C21" s="412" t="str"/>
      <x:c r="D21" s="412" t="str"/>
      <x:c r="E21" s="412" t="str"/>
      <x:c r="F21" s="412" t="str"/>
      <x:c r="G21" s="412" t="str"/>
      <x:c r="H21" s="413" t="str"/>
    </x:row>
    <x:row r="22">
      <x:c r="A22" s="422" t="str">
        <x:v>原型</x:v>
      </x:c>
      <x:c r="B22" s="415" t="str">
        <x:v>主角、NPC、敌人、灯、平台、杠杆、HUD、对话等程序绘制占位图</x:v>
      </x:c>
      <x:c r="C22" s="415" t="str"/>
      <x:c r="D22" s="415" t="str"/>
      <x:c r="E22" s="415" t="str"/>
      <x:c r="F22" s="415" t="str"/>
      <x:c r="G22" s="415" t="str"/>
      <x:c r="H22" s="416" t="str"/>
    </x:row>
    <x:row r="23">
      <x:c r="A23" s="423" t="str">
        <x:v>最大缺口</x:v>
      </x:c>
      <x:c r="B23" s="418" t="str">
        <x:v>统一车厢前景 / 最终角色 / 每关机制道具多状态 / 环境循环 / 结局演出</x:v>
      </x:c>
      <x:c r="C23" s="418" t="str"/>
      <x:c r="D23" s="418" t="str"/>
      <x:c r="E23" s="418" t="str"/>
      <x:c r="F23" s="418" t="str"/>
      <x:c r="G23" s="418" t="str"/>
      <x:c r="H23" s="419" t="str"/>
    </x:row>
  </x:sheetData>
  <x:mergeCells>
    <x:mergeCell ref="A1:H2"/>
    <x:mergeCell ref="A3:H3"/>
    <x:mergeCell ref="A8:H8"/>
    <x:mergeCell ref="C9:H9"/>
    <x:mergeCell ref="C10:H10"/>
    <x:mergeCell ref="C11:H11"/>
    <x:mergeCell ref="C12:H12"/>
    <x:mergeCell ref="A14:H14"/>
    <x:mergeCell ref="A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6" hidden="0" customWidth="1"/>
    <x:col min="4" max="4" width="28" hidden="0" customWidth="1"/>
    <x:col min="5" max="5" width="38" hidden="0" customWidth="1"/>
    <x:col min="6" max="6" width="50" hidden="0" customWidth="1"/>
    <x:col min="7" max="7" width="28" hidden="0" customWidth="1"/>
    <x:col min="8" max="8" width="28" hidden="0" customWidth="1"/>
    <x:col min="9" max="9" width="27" hidden="0" customWidth="1"/>
    <x:col min="10" max="10" width="17" hidden="0" customWidth="1"/>
    <x:col min="11" max="11" width="10" hidden="0" customWidth="1"/>
    <x:col min="12" max="12" width="17" hidden="0" customWidth="1"/>
    <x:col min="13" max="13" width="15" hidden="0" customWidth="1"/>
    <x:col min="14" max="14" width="8" hidden="0" customWidth="1"/>
    <x:col min="15" max="15" width="11" hidden="0" customWidth="1"/>
    <x:col min="16" max="16" width="16" hidden="0" customWidth="1"/>
    <x:col min="17" max="17" width="42" hidden="0" customWidth="1"/>
  </x:cols>
  <x:sheetData>
    <x:row r="1" ht="42" customHeight="1">
      <x:c r="A1" s="494" t="str">
        <x:v>资产 ID</x:v>
      </x:c>
      <x:c r="B1" s="494" t="str">
        <x:v>关卡 / 系统</x:v>
      </x:c>
      <x:c r="C1" s="494" t="str">
        <x:v>类别</x:v>
      </x:c>
      <x:c r="D1" s="494" t="str">
        <x:v>资产名称</x:v>
      </x:c>
      <x:c r="E1" s="494" t="str">
        <x:v>画面与叙事用途</x:v>
      </x:c>
      <x:c r="F1" s="494" t="str">
        <x:v>内容 / 构图要求</x:v>
      </x:c>
      <x:c r="G1" s="494" t="str">
        <x:v>状态 / 变体</x:v>
      </x:c>
      <x:c r="H1" s="494" t="str">
        <x:v>动画 / VFX 要求</x:v>
      </x:c>
      <x:c r="I1" s="494" t="str">
        <x:v>交付规格</x:v>
      </x:c>
      <x:c r="J1" s="494" t="str">
        <x:v>复用组</x:v>
      </x:c>
      <x:c r="K1" s="494" t="str">
        <x:v>优先级</x:v>
      </x:c>
      <x:c r="L1" s="494" t="str">
        <x:v>里程碑</x:v>
      </x:c>
      <x:c r="M1" s="494" t="str">
        <x:v>当前状态</x:v>
      </x:c>
      <x:c r="N1" s="494" t="str">
        <x:v>数量</x:v>
      </x:c>
      <x:c r="O1" s="494" t="str">
        <x:v>估算工日</x:v>
      </x:c>
      <x:c r="P1" s="494" t="str">
        <x:v>负责人</x:v>
      </x:c>
      <x:c r="Q1" s="494" t="str">
        <x:v>依赖 / 验收标准</x:v>
      </x:c>
    </x:row>
    <x:row r="2" ht="62" customHeight="1">
      <x:c r="A2" s="495" t="str">
        <x:v>SYS-AD-001</x:v>
      </x:c>
      <x:c r="B2" s="495" t="str">
        <x:v>全局系统</x:v>
      </x:c>
      <x:c r="C2" s="495" t="str">
        <x:v>美术指导</x:v>
      </x:c>
      <x:c r="D2" s="496" t="str">
        <x:v>统一美术圣经 / Style Bible</x:v>
      </x:c>
      <x:c r="E2" s="496" t="str">
        <x:v>让十个时代像同一列火车、同一个叙事宇宙</x:v>
      </x:c>
      <x:c r="F2" s="496" t="str">
        <x:v>确定形状语言、线条密度、透视、材质处理、人物比例、禁止事项；含好/坏示例</x:v>
      </x:c>
      <x:c r="G2" s="496" t="str">
        <x:v>v1 / 最终版</x:v>
      </x:c>
      <x:c r="H2" s="496" t="str">
        <x:v>无</x:v>
      </x:c>
      <x:c r="I2" s="496" t="str">
        <x:v>PDF/PNG，12–20 页</x:v>
      </x:c>
      <x:c r="J2" s="496" t="str">
        <x:v>全局</x:v>
      </x:c>
      <x:c r="K2" s="497" t="str">
        <x:v>P0</x:v>
      </x:c>
      <x:c r="L2" s="497" t="str">
        <x:v>M0 视觉基础</x:v>
      </x:c>
      <x:c r="M2" s="497" t="str">
        <x:v>待制作</x:v>
      </x:c>
      <x:c r="N2" s="498" t="n">
        <x:v>1</x:v>
      </x:c>
      <x:c r="O2" s="499" t="n">
        <x:v>3</x:v>
      </x:c>
      <x:c r="P2" s="496" t="str"/>
      <x:c r="Q2" s="496" t="str">
        <x:v>需叙事主题与游戏镜头比例确认</x:v>
      </x:c>
    </x:row>
    <x:row r="3" ht="62" customHeight="1">
      <x:c r="A3" s="495" t="str">
        <x:v>SYS-AD-002</x:v>
      </x:c>
      <x:c r="B3" s="495" t="str">
        <x:v>全局系统</x:v>
      </x:c>
      <x:c r="C3" s="495" t="str">
        <x:v>美术指导</x:v>
      </x:c>
      <x:c r="D3" s="496" t="str">
        <x:v>十关色彩脚本</x:v>
      </x:c>
      <x:c r="E3" s="496" t="str">
        <x:v>用颜色推进“正常→怀疑→记忆崩塌→选择”</x:v>
      </x:c>
      <x:c r="F3" s="496" t="str">
        <x:v>每关主色、辅助色、焦点色、亮度范围；标记转场的色彩桥接</x:v>
      </x:c>
      <x:c r="G3" s="496" t="str">
        <x:v>10 关 + 3 个结局</x:v>
      </x:c>
      <x:c r="H3" s="496" t="str">
        <x:v>颜色渐变/闪切方案</x:v>
      </x:c>
      <x:c r="I3" s="496" t="str">
        <x:v>1920×1080 色板板式</x:v>
      </x:c>
      <x:c r="J3" s="496" t="str">
        <x:v>全局</x:v>
      </x:c>
      <x:c r="K3" s="497" t="str">
        <x:v>P0</x:v>
      </x:c>
      <x:c r="L3" s="497" t="str">
        <x:v>M0 视觉基础</x:v>
      </x:c>
      <x:c r="M3" s="497" t="str">
        <x:v>待制作</x:v>
      </x:c>
      <x:c r="N3" s="498" t="n">
        <x:v>13</x:v>
      </x:c>
      <x:c r="O3" s="499" t="n">
        <x:v>2.5</x:v>
      </x:c>
      <x:c r="P3" s="496" t="str"/>
      <x:c r="Q3" s="496" t="str">
        <x:v>与关卡顺序一致；可在本表色彩脚本页锁定</x:v>
      </x:c>
    </x:row>
    <x:row r="4" ht="62" customHeight="1">
      <x:c r="A4" s="495" t="str">
        <x:v>SYS-AD-003</x:v>
      </x:c>
      <x:c r="B4" s="495" t="str">
        <x:v>全局系统</x:v>
      </x:c>
      <x:c r="C4" s="495" t="str">
        <x:v>美术指导</x:v>
      </x:c>
      <x:c r="D4" s="496" t="str">
        <x:v>AI 视觉母题库</x:v>
      </x:c>
      <x:c r="E4" s="496" t="str">
        <x:v>让玩家在不同文明里逐渐认出同一个 AI 控制者</x:v>
      </x:c>
      <x:c r="F4" s="496" t="str">
        <x:v>眼形、线路、车票打孔、无限结、同心圆五种母题；定义显性/隐性使用等级</x:v>
      </x:c>
      <x:c r="G4" s="496" t="str">
        <x:v>5 母题 × 3 隐蔽度</x:v>
      </x:c>
      <x:c r="H4" s="496" t="str">
        <x:v>轻微扫描/呼吸</x:v>
      </x:c>
      <x:c r="I4" s="496" t="str">
        <x:v>矢量 SVG + PNG</x:v>
      </x:c>
      <x:c r="J4" s="496" t="str">
        <x:v>AI 母题</x:v>
      </x:c>
      <x:c r="K4" s="497" t="str">
        <x:v>P0</x:v>
      </x:c>
      <x:c r="L4" s="497" t="str">
        <x:v>M0 视觉基础</x:v>
      </x:c>
      <x:c r="M4" s="497" t="str">
        <x:v>待制作</x:v>
      </x:c>
      <x:c r="N4" s="498" t="n">
        <x:v>15</x:v>
      </x:c>
      <x:c r="O4" s="499" t="n">
        <x:v>3</x:v>
      </x:c>
      <x:c r="P4" s="496" t="str"/>
      <x:c r="Q4" s="496" t="str">
        <x:v>每关至少埋 1 处；最终关组合成完整符号</x:v>
      </x:c>
    </x:row>
    <x:row r="5" ht="62" customHeight="1">
      <x:c r="A5" s="495" t="str">
        <x:v>SYS-AD-004</x:v>
      </x:c>
      <x:c r="B5" s="495" t="str">
        <x:v>全局系统</x:v>
      </x:c>
      <x:c r="C5" s="495" t="str">
        <x:v>概念设计</x:v>
      </x:c>
      <x:c r="D5" s="496" t="str">
        <x:v>整列火车纵向剖面图</x:v>
      </x:c>
      <x:c r="E5" s="496" t="str">
        <x:v>统一车厢比例、门窗位置、可复用结构</x:v>
      </x:c>
      <x:c r="F5" s="496" t="str">
        <x:v>侧视剖面标出窗、门、地板、天花、走廊、前后景层与玩家活动区</x:v>
      </x:c>
      <x:c r="G5" s="496" t="str">
        <x:v>正常 / 损坏 / AI 暴露</x:v>
      </x:c>
      <x:c r="H5" s="496" t="str">
        <x:v>无</x:v>
      </x:c>
      <x:c r="I5" s="496" t="str">
        <x:v>3840×2160 PNG + 分层源文件</x:v>
      </x:c>
      <x:c r="J5" s="496" t="str">
        <x:v>车厢骨架</x:v>
      </x:c>
      <x:c r="K5" s="497" t="str">
        <x:v>P0</x:v>
      </x:c>
      <x:c r="L5" s="497" t="str">
        <x:v>M0 视觉基础</x:v>
      </x:c>
      <x:c r="M5" s="497" t="str">
        <x:v>待制作</x:v>
      </x:c>
      <x:c r="N5" s="498" t="n">
        <x:v>3</x:v>
      </x:c>
      <x:c r="O5" s="499" t="n">
        <x:v>3</x:v>
      </x:c>
      <x:c r="P5" s="496" t="str"/>
      <x:c r="Q5" s="496" t="str">
        <x:v>必须匹配 960×600 游戏画面安全区</x:v>
      </x:c>
    </x:row>
    <x:row r="6" ht="62" customHeight="1">
      <x:c r="A6" s="495" t="str">
        <x:v>SYS-AD-005</x:v>
      </x:c>
      <x:c r="B6" s="495" t="str">
        <x:v>全局系统</x:v>
      </x:c>
      <x:c r="C6" s="495" t="str">
        <x:v>概念设计</x:v>
      </x:c>
      <x:c r="D6" s="496" t="str">
        <x:v>主角造型探索</x:v>
      </x:c>
      <x:c r="E6" s="496" t="str">
        <x:v>建立可读剪影与身份弧线</x:v>
      </x:c>
      <x:c r="F6" s="496" t="str">
        <x:v>正侧背、表情页、服装分层；从普通乘客到被系统标记的细节变化</x:v>
      </x:c>
      <x:c r="G6" s="496" t="str">
        <x:v>初始 / 受污染 / 觉醒</x:v>
      </x:c>
      <x:c r="H6" s="496" t="str">
        <x:v>动作姿势缩略图</x:v>
      </x:c>
      <x:c r="I6" s="496" t="str">
        <x:v>角色设定板 + 分层源文件</x:v>
      </x:c>
      <x:c r="J6" s="496" t="str">
        <x:v>主角</x:v>
      </x:c>
      <x:c r="K6" s="497" t="str">
        <x:v>P0</x:v>
      </x:c>
      <x:c r="L6" s="497" t="str">
        <x:v>M0 视觉基础</x:v>
      </x:c>
      <x:c r="M6" s="497" t="str">
        <x:v>待制作</x:v>
      </x:c>
      <x:c r="N6" s="498" t="n">
        <x:v>3</x:v>
      </x:c>
      <x:c r="O6" s="499" t="n">
        <x:v>4</x:v>
      </x:c>
      <x:c r="P6" s="496" t="str"/>
      <x:c r="Q6" s="496" t="str">
        <x:v>需锁定角色性别表达与视觉年龄</x:v>
      </x:c>
    </x:row>
    <x:row r="7" ht="62" customHeight="1">
      <x:c r="A7" s="495" t="str">
        <x:v>SYS-AD-006</x:v>
      </x:c>
      <x:c r="B7" s="495" t="str">
        <x:v>全局系统</x:v>
      </x:c>
      <x:c r="C7" s="495" t="str">
        <x:v>概念设计</x:v>
      </x:c>
      <x:c r="D7" s="496" t="str">
        <x:v>列车长 / AI Conductor 造型探索</x:v>
      </x:c>
      <x:c r="E7" s="496" t="str">
        <x:v>从可信服务者逐步变成控制系统本体</x:v>
      </x:c>
      <x:c r="F7" s="496" t="str">
        <x:v>人形制服、半机械、车厢系统融合三阶段；脸部保留同一轮廓</x:v>
      </x:c>
      <x:c r="G7" s="496" t="str">
        <x:v>3 阶段</x:v>
      </x:c>
      <x:c r="H7" s="496" t="str">
        <x:v>姿态与变形草图</x:v>
      </x:c>
      <x:c r="I7" s="496" t="str">
        <x:v>角色设定板 + 分层源文件</x:v>
      </x:c>
      <x:c r="J7" s="496" t="str">
        <x:v>AI 母题</x:v>
      </x:c>
      <x:c r="K7" s="497" t="str">
        <x:v>P0</x:v>
      </x:c>
      <x:c r="L7" s="497" t="str">
        <x:v>M0 视觉基础</x:v>
      </x:c>
      <x:c r="M7" s="497" t="str">
        <x:v>待制作</x:v>
      </x:c>
      <x:c r="N7" s="498" t="n">
        <x:v>3</x:v>
      </x:c>
      <x:c r="O7" s="499" t="n">
        <x:v>4</x:v>
      </x:c>
      <x:c r="P7" s="496" t="str"/>
      <x:c r="Q7" s="496" t="str">
        <x:v>最终形态可重用所有关卡母题</x:v>
      </x:c>
    </x:row>
    <x:row r="8" ht="62" customHeight="1">
      <x:c r="A8" s="495" t="str">
        <x:v>SYS-AD-007</x:v>
      </x:c>
      <x:c r="B8" s="495" t="str">
        <x:v>全局系统</x:v>
      </x:c>
      <x:c r="C8" s="495" t="str">
        <x:v>技术美术</x:v>
      </x:c>
      <x:c r="D8" s="496" t="str">
        <x:v>美术层级与遮挡规范</x:v>
      </x:c>
      <x:c r="E8" s="496" t="str">
        <x:v>避免大背景把玩家和交互点吃掉</x:v>
      </x:c>
      <x:c r="F8" s="496" t="str">
        <x:v>定义 BG/Far/Mid/Game/FG/UI 六层、色值对比、交互高亮和前景透明规则</x:v>
      </x:c>
      <x:c r="G8" s="496" t="str">
        <x:v>白天/暗场/高亮</x:v>
      </x:c>
      <x:c r="H8" s="496" t="str">
        <x:v>前景随玩家淡出</x:v>
      </x:c>
      <x:c r="I8" s="496" t="str">
        <x:v>规范页 + Phaser 示例</x:v>
      </x:c>
      <x:c r="J8" s="496" t="str">
        <x:v>全局</x:v>
      </x:c>
      <x:c r="K8" s="497" t="str">
        <x:v>P0</x:v>
      </x:c>
      <x:c r="L8" s="497" t="str">
        <x:v>M0 视觉基础</x:v>
      </x:c>
      <x:c r="M8" s="497" t="str">
        <x:v>待制作</x:v>
      </x:c>
      <x:c r="N8" s="498" t="n">
        <x:v>1</x:v>
      </x:c>
      <x:c r="O8" s="499" t="n">
        <x:v>2</x:v>
      </x:c>
      <x:c r="P8" s="496" t="str"/>
      <x:c r="Q8" s="496" t="str">
        <x:v>必须在关卡 1 垂直切片验证</x:v>
      </x:c>
    </x:row>
    <x:row r="9" ht="62" customHeight="1">
      <x:c r="A9" s="495" t="str">
        <x:v>SYS-AD-008</x:v>
      </x:c>
      <x:c r="B9" s="495" t="str">
        <x:v>全局系统</x:v>
      </x:c>
      <x:c r="C9" s="495" t="str">
        <x:v>技术美术</x:v>
      </x:c>
      <x:c r="D9" s="496" t="str">
        <x:v>性能预算与图集规范</x:v>
      </x:c>
      <x:c r="E9" s="496" t="str">
        <x:v>保证网页端在多设备稳定运行</x:v>
      </x:c>
      <x:c r="F9" s="496" t="str">
        <x:v>给角色、道具、VFX、环境层设尺寸/帧数/内存预算；规定 atlas 与压缩方式</x:v>
      </x:c>
      <x:c r="G9" s="496" t="str">
        <x:v>桌面 / 低配</x:v>
      </x:c>
      <x:c r="H9" s="496" t="str">
        <x:v>无</x:v>
      </x:c>
      <x:c r="I9" s="496" t="str">
        <x:v>规范页 + 示例 atlas</x:v>
      </x:c>
      <x:c r="J9" s="496" t="str">
        <x:v>全局</x:v>
      </x:c>
      <x:c r="K9" s="497" t="str">
        <x:v>P0</x:v>
      </x:c>
      <x:c r="L9" s="497" t="str">
        <x:v>M0 视觉基础</x:v>
      </x:c>
      <x:c r="M9" s="497" t="str">
        <x:v>管线已有</x:v>
      </x:c>
      <x:c r="N9" s="498" t="n">
        <x:v>1</x:v>
      </x:c>
      <x:c r="O9" s="499" t="n">
        <x:v>1.5</x:v>
      </x:c>
      <x:c r="P9" s="496" t="str"/>
      <x:c r="Q9" s="496" t="str">
        <x:v>现有背景切片管线可作为环境预算基准</x:v>
      </x:c>
    </x:row>
    <x:row r="10" ht="62" customHeight="1">
      <x:c r="A10" s="495" t="str">
        <x:v>SYS-TR-001</x:v>
      </x:c>
      <x:c r="B10" s="495" t="str">
        <x:v>全局系统</x:v>
      </x:c>
      <x:c r="C10" s="495" t="str">
        <x:v>车厢结构</x:v>
      </x:c>
      <x:c r="D10" s="496" t="str">
        <x:v>统一车窗框 + 玻璃遮罩</x:v>
      </x:c>
      <x:c r="E10" s="496" t="str">
        <x:v>把现有十张全景真正变成“窗外世界”而不是全屏贴图</x:v>
      </x:c>
      <x:c r="F10" s="496" t="str">
        <x:v>两侧窗框、玻璃反光、密封条、窗边磨损；保留中央可视区</x:v>
      </x:c>
      <x:c r="G10" s="496" t="str">
        <x:v>完好 / 裂纹 / AI 扫描 / 结露</x:v>
      </x:c>
      <x:c r="H10" s="496" t="str">
        <x:v>反光慢移、雨滴/灰尘可挂接</x:v>
      </x:c>
      <x:c r="I10" s="496" t="str">
        <x:v>分层 PNG/WebP，1920×1200</x:v>
      </x:c>
      <x:c r="J10" s="496" t="str">
        <x:v>车厢骨架</x:v>
      </x:c>
      <x:c r="K10" s="497" t="str">
        <x:v>P0</x:v>
      </x:c>
      <x:c r="L10" s="497" t="str">
        <x:v>M1 垂直切片</x:v>
      </x:c>
      <x:c r="M10" s="497" t="str">
        <x:v>待制作</x:v>
      </x:c>
      <x:c r="N10" s="498" t="n">
        <x:v>4</x:v>
      </x:c>
      <x:c r="O10" s="499" t="n">
        <x:v>4</x:v>
      </x:c>
      <x:c r="P10" s="496" t="str"/>
      <x:c r="Q10" s="496" t="str">
        <x:v>与背景视差和玩家遮挡一起验收</x:v>
      </x:c>
    </x:row>
    <x:row r="11" ht="62" customHeight="1">
      <x:c r="A11" s="495" t="str">
        <x:v>SYS-TR-002</x:v>
      </x:c>
      <x:c r="B11" s="495" t="str">
        <x:v>全局系统</x:v>
      </x:c>
      <x:c r="C11" s="495" t="str">
        <x:v>车厢结构</x:v>
      </x:c>
      <x:c r="D11" s="496" t="str">
        <x:v>车厢天花与灯带模块</x:v>
      </x:c>
      <x:c r="E11" s="496" t="str">
        <x:v>提供稳定的室内前景与节奏性照明</x:v>
      </x:c>
      <x:c r="F11" s="496" t="str">
        <x:v>3 段可拼接天花、通风口、灯带、扶手固定点</x:v>
      </x:c>
      <x:c r="G11" s="496" t="str">
        <x:v>正常 / 断电 / 警报 / AI 接管</x:v>
      </x:c>
      <x:c r="H11" s="496" t="str">
        <x:v>灯闪、逐段点亮</x:v>
      </x:c>
      <x:c r="I11" s="496" t="str">
        <x:v>模块化透明 PNG + atlas</x:v>
      </x:c>
      <x:c r="J11" s="496" t="str">
        <x:v>车厢骨架</x:v>
      </x:c>
      <x:c r="K11" s="497" t="str">
        <x:v>P0</x:v>
      </x:c>
      <x:c r="L11" s="497" t="str">
        <x:v>M1 垂直切片</x:v>
      </x:c>
      <x:c r="M11" s="497" t="str">
        <x:v>待制作</x:v>
      </x:c>
      <x:c r="N11" s="498" t="n">
        <x:v>4</x:v>
      </x:c>
      <x:c r="O11" s="499" t="n">
        <x:v>3</x:v>
      </x:c>
      <x:c r="P11" s="496" t="str"/>
      <x:c r="Q11" s="496" t="str">
        <x:v>关卡 1、2 先验证拼接</x:v>
      </x:c>
    </x:row>
    <x:row r="12" ht="62" customHeight="1">
      <x:c r="A12" s="495" t="str">
        <x:v>SYS-TR-003</x:v>
      </x:c>
      <x:c r="B12" s="495" t="str">
        <x:v>全局系统</x:v>
      </x:c>
      <x:c r="C12" s="495" t="str">
        <x:v>车厢结构</x:v>
      </x:c>
      <x:c r="D12" s="496" t="str">
        <x:v>地板与墙裙模块</x:v>
      </x:c>
      <x:c r="E12" s="496" t="str">
        <x:v>统一玩家脚下空间并承载时代变化</x:v>
      </x:c>
      <x:c r="F12" s="496" t="str">
        <x:v>基础地板、墙裙、踢脚线；磨损和时代覆盖层分开</x:v>
      </x:c>
      <x:c r="G12" s="496" t="str">
        <x:v>清洁 / 磨损 / 水渍 / 植被侵入</x:v>
      </x:c>
      <x:c r="H12" s="496" t="str">
        <x:v>反光/水渍微动可选</x:v>
      </x:c>
      <x:c r="I12" s="496" t="str">
        <x:v>可平铺 PNG/WebP</x:v>
      </x:c>
      <x:c r="J12" s="496" t="str">
        <x:v>车厢骨架</x:v>
      </x:c>
      <x:c r="K12" s="497" t="str">
        <x:v>P0</x:v>
      </x:c>
      <x:c r="L12" s="497" t="str">
        <x:v>M1 垂直切片</x:v>
      </x:c>
      <x:c r="M12" s="497" t="str">
        <x:v>待制作</x:v>
      </x:c>
      <x:c r="N12" s="498" t="n">
        <x:v>4</x:v>
      </x:c>
      <x:c r="O12" s="499" t="n">
        <x:v>3</x:v>
      </x:c>
      <x:c r="P12" s="496" t="str"/>
      <x:c r="Q12" s="496" t="str">
        <x:v>碰撞轮廓与视觉边缘一致</x:v>
      </x:c>
    </x:row>
    <x:row r="13" ht="62" customHeight="1">
      <x:c r="A13" s="495" t="str">
        <x:v>SYS-TR-004</x:v>
      </x:c>
      <x:c r="B13" s="495" t="str">
        <x:v>全局系统</x:v>
      </x:c>
      <x:c r="C13" s="495" t="str">
        <x:v>车厢结构</x:v>
      </x:c>
      <x:c r="D13" s="496" t="str">
        <x:v>车门模块</x:v>
      </x:c>
      <x:c r="E13" s="496" t="str">
        <x:v>承担关卡开始、结束、转场与选择</x:v>
      </x:c>
      <x:c r="F13" s="496" t="str">
        <x:v>双开门、门框、门上电子屏、机械缝隙</x:v>
      </x:c>
      <x:c r="G13" s="496" t="str">
        <x:v>锁定 / 可开 / 半开 / 故障 / 最终解锁</x:v>
      </x:c>
      <x:c r="H13" s="496" t="str">
        <x:v>开关 12–16 帧、抖动、夹断电弧</x:v>
      </x:c>
      <x:c r="I13" s="496" t="str">
        <x:v>Sprite atlas</x:v>
      </x:c>
      <x:c r="J13" s="496" t="str">
        <x:v>车厢骨架</x:v>
      </x:c>
      <x:c r="K13" s="497" t="str">
        <x:v>P0</x:v>
      </x:c>
      <x:c r="L13" s="497" t="str">
        <x:v>M1 垂直切片</x:v>
      </x:c>
      <x:c r="M13" s="497" t="str">
        <x:v>原型已有</x:v>
      </x:c>
      <x:c r="N13" s="498" t="n">
        <x:v>5</x:v>
      </x:c>
      <x:c r="O13" s="499" t="n">
        <x:v>4</x:v>
      </x:c>
      <x:c r="P13" s="496" t="str"/>
      <x:c r="Q13" s="496" t="str">
        <x:v>需替换当前纯程序图形并接入状态机</x:v>
      </x:c>
    </x:row>
    <x:row r="14" ht="62" customHeight="1">
      <x:c r="A14" s="495" t="str">
        <x:v>SYS-TR-005</x:v>
      </x:c>
      <x:c r="B14" s="495" t="str">
        <x:v>全局系统</x:v>
      </x:c>
      <x:c r="C14" s="495" t="str">
        <x:v>车厢结构</x:v>
      </x:c>
      <x:c r="D14" s="496" t="str">
        <x:v>座椅模块套装</x:v>
      </x:c>
      <x:c r="E14" s="496" t="str">
        <x:v>增加生活痕迹与空间节奏</x:v>
      </x:c>
      <x:c r="F14" s="496" t="str">
        <x:v>单座、双座、破损座、折叠座、座下藏物版本</x:v>
      </x:c>
      <x:c r="G14" s="496" t="str">
        <x:v>干净 / 占用 / 破损 / 被植物覆盖</x:v>
      </x:c>
      <x:c r="H14" s="496" t="str">
        <x:v>轻微震动、可掀座垫</x:v>
      </x:c>
      <x:c r="I14" s="496" t="str">
        <x:v>模块化 PNG/WebP</x:v>
      </x:c>
      <x:c r="J14" s="496" t="str">
        <x:v>车厢骨架</x:v>
      </x:c>
      <x:c r="K14" s="497" t="str">
        <x:v>P1</x:v>
      </x:c>
      <x:c r="L14" s="497" t="str">
        <x:v>M2 共享系统</x:v>
      </x:c>
      <x:c r="M14" s="497" t="str">
        <x:v>待制作</x:v>
      </x:c>
      <x:c r="N14" s="498" t="n">
        <x:v>8</x:v>
      </x:c>
      <x:c r="O14" s="499" t="n">
        <x:v>4</x:v>
      </x:c>
      <x:c r="P14" s="496" t="str"/>
      <x:c r="Q14" s="496" t="str">
        <x:v>每关可换材质覆盖层，不重画骨架</x:v>
      </x:c>
    </x:row>
    <x:row r="15" ht="62" customHeight="1">
      <x:c r="A15" s="495" t="str">
        <x:v>SYS-TR-006</x:v>
      </x:c>
      <x:c r="B15" s="495" t="str">
        <x:v>全局系统</x:v>
      </x:c>
      <x:c r="C15" s="495" t="str">
        <x:v>车厢结构</x:v>
      </x:c>
      <x:c r="D15" s="496" t="str">
        <x:v>扶手 / 吊环 / 立柱套装</x:v>
      </x:c>
      <x:c r="E15" s="496" t="str">
        <x:v>用前景摆动强化火车运行感</x:v>
      </x:c>
      <x:c r="F15" s="496" t="str">
        <x:v>3 种吊环、2 种立柱、扶手连接件</x:v>
      </x:c>
      <x:c r="G15" s="496" t="str">
        <x:v>标准 / 断裂 / 生锈 / 植物缠绕</x:v>
      </x:c>
      <x:c r="H15" s="496" t="str">
        <x:v>左右摆动、碰撞余震</x:v>
      </x:c>
      <x:c r="I15" s="496" t="str">
        <x:v>Sprite atlas</x:v>
      </x:c>
      <x:c r="J15" s="496" t="str">
        <x:v>车厢骨架</x:v>
      </x:c>
      <x:c r="K15" s="497" t="str">
        <x:v>P1</x:v>
      </x:c>
      <x:c r="L15" s="497" t="str">
        <x:v>M2 共享系统</x:v>
      </x:c>
      <x:c r="M15" s="497" t="str">
        <x:v>待制作</x:v>
      </x:c>
      <x:c r="N15" s="498" t="n">
        <x:v>10</x:v>
      </x:c>
      <x:c r="O15" s="499" t="n">
        <x:v>3</x:v>
      </x:c>
      <x:c r="P15" s="496" t="str"/>
      <x:c r="Q15" s="496" t="str">
        <x:v>摆动幅度需不遮挡交互提示</x:v>
      </x:c>
    </x:row>
    <x:row r="16" ht="62" customHeight="1">
      <x:c r="A16" s="495" t="str">
        <x:v>SYS-TR-007</x:v>
      </x:c>
      <x:c r="B16" s="495" t="str">
        <x:v>全局系统</x:v>
      </x:c>
      <x:c r="C16" s="495" t="str">
        <x:v>车厢结构</x:v>
      </x:c>
      <x:c r="D16" s="496" t="str">
        <x:v>行李架与乘客杂物套装</x:v>
      </x:c>
      <x:c r="E16" s="496" t="str">
        <x:v>让空间有被使用过的历史</x:v>
      </x:c>
      <x:c r="F16" s="496" t="str">
        <x:v>箱包、车票、外套、水瓶、旧照片、工具盒、遗失玩具</x:v>
      </x:c>
      <x:c r="G16" s="496" t="str">
        <x:v>普通 / 各时代皮肤</x:v>
      </x:c>
      <x:c r="H16" s="496" t="str">
        <x:v>小物晃动/掉落</x:v>
      </x:c>
      <x:c r="I16" s="496" t="str">
        <x:v>Props atlas</x:v>
      </x:c>
      <x:c r="J16" s="496" t="str">
        <x:v>叙事杂物</x:v>
      </x:c>
      <x:c r="K16" s="497" t="str">
        <x:v>P1</x:v>
      </x:c>
      <x:c r="L16" s="497" t="str">
        <x:v>M3 全内容</x:v>
      </x:c>
      <x:c r="M16" s="497" t="str">
        <x:v>待制作</x:v>
      </x:c>
      <x:c r="N16" s="498" t="n">
        <x:v>24</x:v>
      </x:c>
      <x:c r="O16" s="499" t="n">
        <x:v>6</x:v>
      </x:c>
      <x:c r="P16" s="496" t="str"/>
      <x:c r="Q16" s="496" t="str">
        <x:v>每关至少 2 个叙事性小物</x:v>
      </x:c>
    </x:row>
    <x:row r="17" ht="62" customHeight="1">
      <x:c r="A17" s="495" t="str">
        <x:v>SYS-TR-008</x:v>
      </x:c>
      <x:c r="B17" s="495" t="str">
        <x:v>全局系统</x:v>
      </x:c>
      <x:c r="C17" s="495" t="str">
        <x:v>车厢结构</x:v>
      </x:c>
      <x:c r="D17" s="496" t="str">
        <x:v>车厢前景遮挡套装</x:v>
      </x:c>
      <x:c r="E17" s="496" t="str">
        <x:v>制造三层景深，提升画面饱满度</x:v>
      </x:c>
      <x:c r="F17" s="496" t="str">
        <x:v>近景门边、座椅靠背、垂帘、管线、植物、残骸等可淡出遮挡物</x:v>
      </x:c>
      <x:c r="G17" s="496" t="str">
        <x:v>左右版本 / 破损版本</x:v>
      </x:c>
      <x:c r="H17" s="496" t="str">
        <x:v>玩家靠近时 40% 透明</x:v>
      </x:c>
      <x:c r="I17" s="496" t="str">
        <x:v>透明 PNG，2×</x:v>
      </x:c>
      <x:c r="J17" s="496" t="str">
        <x:v>前景层</x:v>
      </x:c>
      <x:c r="K17" s="497" t="str">
        <x:v>P0</x:v>
      </x:c>
      <x:c r="L17" s="497" t="str">
        <x:v>M2 共享系统</x:v>
      </x:c>
      <x:c r="M17" s="497" t="str">
        <x:v>待制作</x:v>
      </x:c>
      <x:c r="N17" s="498" t="n">
        <x:v>12</x:v>
      </x:c>
      <x:c r="O17" s="499" t="n">
        <x:v>5</x:v>
      </x:c>
      <x:c r="P17" s="496" t="str"/>
      <x:c r="Q17" s="496" t="str">
        <x:v>每屏至少 1 个前景框景但不可挡住危险提示</x:v>
      </x:c>
    </x:row>
    <x:row r="18" ht="62" customHeight="1">
      <x:c r="A18" s="495" t="str">
        <x:v>SYS-TR-009</x:v>
      </x:c>
      <x:c r="B18" s="495" t="str">
        <x:v>全局系统</x:v>
      </x:c>
      <x:c r="C18" s="495" t="str">
        <x:v>车厢结构</x:v>
      </x:c>
      <x:c r="D18" s="496" t="str">
        <x:v>车厢震动与倾斜覆盖层</x:v>
      </x:c>
      <x:c r="E18" s="496" t="str">
        <x:v>让静态背景也具有运动感</x:v>
      </x:c>
      <x:c r="F18" s="496" t="str">
        <x:v>螺丝、尘屑、窗帘/电线等微型摆动物件</x:v>
      </x:c>
      <x:c r="G18" s="496" t="str">
        <x:v>平稳 / 加速 / 急刹</x:v>
      </x:c>
      <x:c r="H18" s="496" t="str">
        <x:v>循环与一次性冲击</x:v>
      </x:c>
      <x:c r="I18" s="496" t="str">
        <x:v>Sprite atlas / 粒子贴图</x:v>
      </x:c>
      <x:c r="J18" s="496" t="str">
        <x:v>全局氛围</x:v>
      </x:c>
      <x:c r="K18" s="497" t="str">
        <x:v>P1</x:v>
      </x:c>
      <x:c r="L18" s="497" t="str">
        <x:v>M4 抛光</x:v>
      </x:c>
      <x:c r="M18" s="497" t="str">
        <x:v>待制作</x:v>
      </x:c>
      <x:c r="N18" s="498" t="n">
        <x:v>9</x:v>
      </x:c>
      <x:c r="O18" s="499" t="n">
        <x:v>3</x:v>
      </x:c>
      <x:c r="P18" s="496" t="str"/>
      <x:c r="Q18" s="496" t="str">
        <x:v>需与相机震动同步</x:v>
      </x:c>
    </x:row>
    <x:row r="19" ht="62" customHeight="1">
      <x:c r="A19" s="495" t="str">
        <x:v>SYS-TR-010</x:v>
      </x:c>
      <x:c r="B19" s="495" t="str">
        <x:v>全局系统</x:v>
      </x:c>
      <x:c r="C19" s="495" t="str">
        <x:v>环境叙事</x:v>
      </x:c>
      <x:c r="D19" s="496" t="str">
        <x:v>车厢编号与时间线标识系统</x:v>
      </x:c>
      <x:c r="E19" s="496" t="str">
        <x:v>帮助玩家理解列车顺序又保留神秘感</x:v>
      </x:c>
      <x:c r="F19" s="496" t="str">
        <x:v>门牌、车次屏、路线图、错误日期、被涂改编号</x:v>
      </x:c>
      <x:c r="G19" s="496" t="str">
        <x:v>10 关 + 故障版</x:v>
      </x:c>
      <x:c r="H19" s="496" t="str">
        <x:v>翻牌/乱码</x:v>
      </x:c>
      <x:c r="I19" s="496" t="str">
        <x:v>矢量 + 2× PNG</x:v>
      </x:c>
      <x:c r="J19" s="496" t="str">
        <x:v>AI 母题</x:v>
      </x:c>
      <x:c r="K19" s="497" t="str">
        <x:v>P1</x:v>
      </x:c>
      <x:c r="L19" s="497" t="str">
        <x:v>M3 全内容</x:v>
      </x:c>
      <x:c r="M19" s="497" t="str">
        <x:v>待制作</x:v>
      </x:c>
      <x:c r="N19" s="498" t="n">
        <x:v>20</x:v>
      </x:c>
      <x:c r="O19" s="499" t="n">
        <x:v>4</x:v>
      </x:c>
      <x:c r="P19" s="496" t="str"/>
      <x:c r="Q19" s="496" t="str">
        <x:v>编号在记忆关发生矛盾，最终关揭示真实顺序</x:v>
      </x:c>
    </x:row>
    <x:row r="20" ht="62" customHeight="1">
      <x:c r="A20" s="495" t="str">
        <x:v>SYS-CH-001</x:v>
      </x:c>
      <x:c r="B20" s="495" t="str">
        <x:v>全局系统</x:v>
      </x:c>
      <x:c r="C20" s="495" t="str">
        <x:v>角色</x:v>
      </x:c>
      <x:c r="D20" s="496" t="str">
        <x:v>主角最终角色立绘 / 游戏内模型</x:v>
      </x:c>
      <x:c r="E20" s="496" t="str">
        <x:v>替换猎人式临时剪影，建立本游戏身份</x:v>
      </x:c>
      <x:c r="F20" s="496" t="str">
        <x:v>正侧视拆件、轮廓在深浅背景均清晰</x:v>
      </x:c>
      <x:c r="G20" s="496" t="str">
        <x:v>初始 / 受伤 / AI 污染 / 觉醒</x:v>
      </x:c>
      <x:c r="H20" s="496" t="str">
        <x:v>待动作表</x:v>
      </x:c>
      <x:c r="I20" s="496" t="str">
        <x:v>Sprite atlas，建议显示高 72–96px</x:v>
      </x:c>
      <x:c r="J20" s="496" t="str">
        <x:v>主角</x:v>
      </x:c>
      <x:c r="K20" s="497" t="str">
        <x:v>P0</x:v>
      </x:c>
      <x:c r="L20" s="497" t="str">
        <x:v>M1 垂直切片</x:v>
      </x:c>
      <x:c r="M20" s="497" t="str">
        <x:v>原型已有</x:v>
      </x:c>
      <x:c r="N20" s="498" t="n">
        <x:v>4</x:v>
      </x:c>
      <x:c r="O20" s="499" t="n">
        <x:v>6</x:v>
      </x:c>
      <x:c r="P20" s="496" t="str"/>
      <x:c r="Q20" s="496" t="str">
        <x:v>当前 player 程序纹理仅作尺寸/碰撞参考</x:v>
      </x:c>
    </x:row>
    <x:row r="21" ht="62" customHeight="1">
      <x:c r="A21" s="495" t="str">
        <x:v>SYS-CH-002</x:v>
      </x:c>
      <x:c r="B21" s="495" t="str">
        <x:v>全局系统</x:v>
      </x:c>
      <x:c r="C21" s="495" t="str">
        <x:v>角色动画</x:v>
      </x:c>
      <x:c r="D21" s="496" t="str">
        <x:v>主角基础移动动画包</x:v>
      </x:c>
      <x:c r="E21" s="496" t="str">
        <x:v>保证所有非战斗玩法手感统一</x:v>
      </x:c>
      <x:c r="F21" s="496" t="str">
        <x:v>idle、walk/run、jump up/apex/fall、land、crouch、turn</x:v>
      </x:c>
      <x:c r="G21" s="496" t="str">
        <x:v>普通 / 携物</x:v>
      </x:c>
      <x:c r="H21" s="496" t="str">
        <x:v>8–12 fps，含起停缓冲</x:v>
      </x:c>
      <x:c r="I21" s="496" t="str">
        <x:v>Sprite atlas + 动画表</x:v>
      </x:c>
      <x:c r="J21" s="496" t="str">
        <x:v>主角</x:v>
      </x:c>
      <x:c r="K21" s="497" t="str">
        <x:v>P0</x:v>
      </x:c>
      <x:c r="L21" s="497" t="str">
        <x:v>M1 垂直切片</x:v>
      </x:c>
      <x:c r="M21" s="497" t="str">
        <x:v>待制作</x:v>
      </x:c>
      <x:c r="N21" s="498" t="n">
        <x:v>10</x:v>
      </x:c>
      <x:c r="O21" s="499" t="n">
        <x:v>7</x:v>
      </x:c>
      <x:c r="P21" s="496" t="str"/>
      <x:c r="Q21" s="496" t="str">
        <x:v>动作落点和碰撞盒需固定</x:v>
      </x:c>
    </x:row>
    <x:row r="22" ht="62" customHeight="1">
      <x:c r="A22" s="495" t="str">
        <x:v>SYS-CH-003</x:v>
      </x:c>
      <x:c r="B22" s="495" t="str">
        <x:v>全局系统</x:v>
      </x:c>
      <x:c r="C22" s="495" t="str">
        <x:v>角色动画</x:v>
      </x:c>
      <x:c r="D22" s="496" t="str">
        <x:v>主角交互动画包</x:v>
      </x:c>
      <x:c r="E22" s="496" t="str">
        <x:v>支撑每关不同机制而不依赖战斗</x:v>
      </x:c>
      <x:c r="F22" s="496" t="str">
        <x:v>推、拉、旋钮、插拔电缆、触碰面板、扶起乘客、观察</x:v>
      </x:c>
      <x:c r="G22" s="496" t="str">
        <x:v>站立 / 蹲姿 / 双手</x:v>
      </x:c>
      <x:c r="H22" s="496" t="str">
        <x:v>每个 6–12 帧</x:v>
      </x:c>
      <x:c r="I22" s="496" t="str">
        <x:v>Sprite atlas</x:v>
      </x:c>
      <x:c r="J22" s="496" t="str">
        <x:v>主角</x:v>
      </x:c>
      <x:c r="K22" s="497" t="str">
        <x:v>P0</x:v>
      </x:c>
      <x:c r="L22" s="497" t="str">
        <x:v>M2 共享系统</x:v>
      </x:c>
      <x:c r="M22" s="497" t="str">
        <x:v>待制作</x:v>
      </x:c>
      <x:c r="N22" s="498" t="n">
        <x:v>8</x:v>
      </x:c>
      <x:c r="O22" s="499" t="n">
        <x:v>6</x:v>
      </x:c>
      <x:c r="P22" s="496" t="str"/>
      <x:c r="Q22" s="496" t="str">
        <x:v>机制道具需给手部接触点</x:v>
      </x:c>
    </x:row>
    <x:row r="23" ht="62" customHeight="1">
      <x:c r="A23" s="495" t="str">
        <x:v>SYS-CH-004</x:v>
      </x:c>
      <x:c r="B23" s="495" t="str">
        <x:v>全局系统</x:v>
      </x:c>
      <x:c r="C23" s="495" t="str">
        <x:v>角色动画</x:v>
      </x:c>
      <x:c r="D23" s="496" t="str">
        <x:v>主角受击 / 失败 / 恢复动画</x:v>
      </x:c>
      <x:c r="E23" s="496" t="str">
        <x:v>清晰表达危险而不把游戏变成战斗主导</x:v>
      </x:c>
      <x:c r="F23" s="496" t="str">
        <x:v>踉跄、被扫描冻结、窒息、坠落剪影、起身</x:v>
      </x:c>
      <x:c r="G23" s="496" t="str">
        <x:v>轻 / 重 / 系统控制</x:v>
      </x:c>
      <x:c r="H23" s="496" t="str">
        <x:v>一次性 8–16 帧</x:v>
      </x:c>
      <x:c r="I23" s="496" t="str">
        <x:v>Sprite atlas</x:v>
      </x:c>
      <x:c r="J23" s="496" t="str">
        <x:v>主角</x:v>
      </x:c>
      <x:c r="K23" s="497" t="str">
        <x:v>P1</x:v>
      </x:c>
      <x:c r="L23" s="497" t="str">
        <x:v>M3 全内容</x:v>
      </x:c>
      <x:c r="M23" s="497" t="str">
        <x:v>待制作</x:v>
      </x:c>
      <x:c r="N23" s="498" t="n">
        <x:v>6</x:v>
      </x:c>
      <x:c r="O23" s="499" t="n">
        <x:v>4</x:v>
      </x:c>
      <x:c r="P23" s="496" t="str"/>
      <x:c r="Q23" s="496" t="str">
        <x:v>避免血腥，强调系统回收感</x:v>
      </x:c>
    </x:row>
    <x:row r="24" ht="62" customHeight="1">
      <x:c r="A24" s="495" t="str">
        <x:v>SYS-CH-005</x:v>
      </x:c>
      <x:c r="B24" s="495" t="str">
        <x:v>全局系统</x:v>
      </x:c>
      <x:c r="C24" s="495" t="str">
        <x:v>角色动画</x:v>
      </x:c>
      <x:c r="D24" s="496" t="str">
        <x:v>主角记忆回放幽灵版</x:v>
      </x:c>
      <x:c r="E24" s="496" t="str">
        <x:v>记忆关与最终关的核心合作对象</x:v>
      </x:c>
      <x:c r="F24" s="496" t="str">
        <x:v>同一角色轮廓的半透明过去版本，时间残影边缘</x:v>
      </x:c>
      <x:c r="G24" s="496" t="str">
        <x:v>记录 / 回放 / 冲突 / 消散</x:v>
      </x:c>
      <x:c r="H24" s="496" t="str">
        <x:v>与玩家动画完全同骨架</x:v>
      </x:c>
      <x:c r="I24" s="496" t="str">
        <x:v>同 atlas + shader mask</x:v>
      </x:c>
      <x:c r="J24" s="496" t="str">
        <x:v>主角幽灵</x:v>
      </x:c>
      <x:c r="K24" s="497" t="str">
        <x:v>P0</x:v>
      </x:c>
      <x:c r="L24" s="497" t="str">
        <x:v>M3 全内容</x:v>
      </x:c>
      <x:c r="M24" s="497" t="str">
        <x:v>待制作</x:v>
      </x:c>
      <x:c r="N24" s="498" t="n">
        <x:v>4</x:v>
      </x:c>
      <x:c r="O24" s="499" t="n">
        <x:v>3</x:v>
      </x:c>
      <x:c r="P24" s="496" t="str"/>
      <x:c r="Q24" s="496" t="str">
        <x:v>必须与主角基础动作一一对应</x:v>
      </x:c>
    </x:row>
    <x:row r="25" ht="62" customHeight="1">
      <x:c r="A25" s="495" t="str">
        <x:v>SYS-CH-006</x:v>
      </x:c>
      <x:c r="B25" s="495" t="str">
        <x:v>全局系统</x:v>
      </x:c>
      <x:c r="C25" s="495" t="str">
        <x:v>角色</x:v>
      </x:c>
      <x:c r="D25" s="496" t="str">
        <x:v>列车长人形最终稿</x:v>
      </x:c>
      <x:c r="E25" s="496" t="str">
        <x:v>贯穿故事的可信向导与潜在威胁</x:v>
      </x:c>
      <x:c r="F25" s="496" t="str">
        <x:v>制服、帽徽、检票器、过度礼貌的表情</x:v>
      </x:c>
      <x:c r="G25" s="496" t="str">
        <x:v>正常 / 破绽 / 半机械</x:v>
      </x:c>
      <x:c r="H25" s="496" t="str">
        <x:v>idle、指路、检票、转身、故障</x:v>
      </x:c>
      <x:c r="I25" s="496" t="str">
        <x:v>Sprite atlas + portrait</x:v>
      </x:c>
      <x:c r="J25" s="496" t="str">
        <x:v>列车长</x:v>
      </x:c>
      <x:c r="K25" s="497" t="str">
        <x:v>P0</x:v>
      </x:c>
      <x:c r="L25" s="497" t="str">
        <x:v>M2 共享系统</x:v>
      </x:c>
      <x:c r="M25" s="497" t="str">
        <x:v>待制作</x:v>
      </x:c>
      <x:c r="N25" s="498" t="n">
        <x:v>3</x:v>
      </x:c>
      <x:c r="O25" s="499" t="n">
        <x:v>7</x:v>
      </x:c>
      <x:c r="P25" s="496" t="str"/>
      <x:c r="Q25" s="496" t="str">
        <x:v>每阶段脸部关键特征一致</x:v>
      </x:c>
    </x:row>
    <x:row r="26" ht="62" customHeight="1">
      <x:c r="A26" s="495" t="str">
        <x:v>SYS-CH-007</x:v>
      </x:c>
      <x:c r="B26" s="495" t="str">
        <x:v>全局系统</x:v>
      </x:c>
      <x:c r="C26" s="495" t="str">
        <x:v>角色</x:v>
      </x:c>
      <x:c r="D26" s="496" t="str">
        <x:v>普通乘客基础体型库</x:v>
      </x:c>
      <x:c r="E26" s="496" t="str">
        <x:v>用小成本制造车厢人口与被救对象</x:v>
      </x:c>
      <x:c r="F26" s="496" t="str">
        <x:v>成人 4 体型、儿童 2、老人 2；可换头发/服装色块</x:v>
      </x:c>
      <x:c r="G26" s="496" t="str">
        <x:v>清醒 / 麻木 / 被控制 / 获救</x:v>
      </x:c>
      <x:c r="H26" s="496" t="str">
        <x:v>坐、站、惊慌、跟随</x:v>
      </x:c>
      <x:c r="I26" s="496" t="str">
        <x:v>模块化 atlas</x:v>
      </x:c>
      <x:c r="J26" s="496" t="str">
        <x:v>乘客模块</x:v>
      </x:c>
      <x:c r="K26" s="497" t="str">
        <x:v>P1</x:v>
      </x:c>
      <x:c r="L26" s="497" t="str">
        <x:v>M3 全内容</x:v>
      </x:c>
      <x:c r="M26" s="497" t="str">
        <x:v>原型已有</x:v>
      </x:c>
      <x:c r="N26" s="498" t="n">
        <x:v>8</x:v>
      </x:c>
      <x:c r="O26" s="499" t="n">
        <x:v>8</x:v>
      </x:c>
      <x:c r="P26" s="496" t="str"/>
      <x:c r="Q26" s="496" t="str">
        <x:v>当前所有 NPC 同轮廓，需升级成模块化差异</x:v>
      </x:c>
    </x:row>
    <x:row r="27" ht="62" customHeight="1">
      <x:c r="A27" s="495" t="str">
        <x:v>SYS-CH-008</x:v>
      </x:c>
      <x:c r="B27" s="495" t="str">
        <x:v>全局系统</x:v>
      </x:c>
      <x:c r="C27" s="495" t="str">
        <x:v>角色</x:v>
      </x:c>
      <x:c r="D27" s="496" t="str">
        <x:v>关键 NPC 头像套装</x:v>
      </x:c>
      <x:c r="E27" s="496" t="str">
        <x:v>让对话具有情感，而不是纯文本框</x:v>
      </x:c>
      <x:c r="F27" s="496" t="str">
        <x:v>列车长、工程师、幸存者、工匠、史官、儿童、记忆中的亲人、终局乘客代表</x:v>
      </x:c>
      <x:c r="G27" s="496" t="str">
        <x:v>中性 / 质疑 / 恐惧 / 信任</x:v>
      </x:c>
      <x:c r="H27" s="496" t="str">
        <x:v>轻微眨眼可选</x:v>
      </x:c>
      <x:c r="I27" s="496" t="str">
        <x:v>512×512 PNG，透明</x:v>
      </x:c>
      <x:c r="J27" s="496" t="str">
        <x:v>对话 UI</x:v>
      </x:c>
      <x:c r="K27" s="497" t="str">
        <x:v>P1</x:v>
      </x:c>
      <x:c r="L27" s="497" t="str">
        <x:v>M3 全内容</x:v>
      </x:c>
      <x:c r="M27" s="497" t="str">
        <x:v>待制作</x:v>
      </x:c>
      <x:c r="N27" s="498" t="n">
        <x:v>32</x:v>
      </x:c>
      <x:c r="O27" s="499" t="n">
        <x:v>8</x:v>
      </x:c>
      <x:c r="P27" s="496" t="str"/>
      <x:c r="Q27" s="496" t="str">
        <x:v>头像光向统一，时代服装各异</x:v>
      </x:c>
    </x:row>
    <x:row r="28" ht="62" customHeight="1">
      <x:c r="A28" s="495" t="str">
        <x:v>SYS-CH-009</x:v>
      </x:c>
      <x:c r="B28" s="495" t="str">
        <x:v>全局系统</x:v>
      </x:c>
      <x:c r="C28" s="495" t="str">
        <x:v>角色</x:v>
      </x:c>
      <x:c r="D28" s="496" t="str">
        <x:v>机械敌对单位基础套装</x:v>
      </x:c>
      <x:c r="E28" s="496" t="str">
        <x:v>保留威胁但不让内容只剩战斗</x:v>
      </x:c>
      <x:c r="F28" s="496" t="str">
        <x:v>侦察球、检修蜘蛛、门禁手臂、扫描摄像头</x:v>
      </x:c>
      <x:c r="G28" s="496" t="str">
        <x:v>巡逻 / 警觉 / 瘫痪 / 被接管</x:v>
      </x:c>
      <x:c r="H28" s="496" t="str">
        <x:v>循环与受控动画</x:v>
      </x:c>
      <x:c r="I28" s="496" t="str">
        <x:v>Sprite atlas</x:v>
      </x:c>
      <x:c r="J28" s="496" t="str">
        <x:v>机械单位</x:v>
      </x:c>
      <x:c r="K28" s="497" t="str">
        <x:v>P1</x:v>
      </x:c>
      <x:c r="L28" s="497" t="str">
        <x:v>M3 全内容</x:v>
      </x:c>
      <x:c r="M28" s="497" t="str">
        <x:v>原型已有</x:v>
      </x:c>
      <x:c r="N28" s="498" t="n">
        <x:v>4</x:v>
      </x:c>
      <x:c r="O28" s="499" t="n">
        <x:v>6</x:v>
      </x:c>
      <x:c r="P28" s="496" t="str"/>
      <x:c r="Q28" s="496" t="str">
        <x:v>每个单位至少有非战斗绕过/控制方式</x:v>
      </x:c>
    </x:row>
    <x:row r="29" ht="62" customHeight="1">
      <x:c r="A29" s="495" t="str">
        <x:v>SYS-CH-010</x:v>
      </x:c>
      <x:c r="B29" s="495" t="str">
        <x:v>全局系统</x:v>
      </x:c>
      <x:c r="C29" s="495" t="str">
        <x:v>角色</x:v>
      </x:c>
      <x:c r="D29" s="496" t="str">
        <x:v>非人类伙伴基础套装</x:v>
      </x:c>
      <x:c r="E29" s="496" t="str">
        <x:v>强化单人版“与环境合作”</x:v>
      </x:c>
      <x:c r="F29" s="496" t="str">
        <x:v>小型维修机器人、恐龙幼体、藤蔓芽体三种伙伴</x:v>
      </x:c>
      <x:c r="G29" s="496" t="str">
        <x:v>跟随 / 等待 / 执行 / 受惊</x:v>
      </x:c>
      <x:c r="H29" s="496" t="str">
        <x:v>8–12 fps</x:v>
      </x:c>
      <x:c r="I29" s="496" t="str">
        <x:v>Sprite atlas</x:v>
      </x:c>
      <x:c r="J29" s="496" t="str">
        <x:v>伙伴</x:v>
      </x:c>
      <x:c r="K29" s="497" t="str">
        <x:v>P1</x:v>
      </x:c>
      <x:c r="L29" s="497" t="str">
        <x:v>M3 全内容</x:v>
      </x:c>
      <x:c r="M29" s="497" t="str">
        <x:v>待制作</x:v>
      </x:c>
      <x:c r="N29" s="498" t="n">
        <x:v>3</x:v>
      </x:c>
      <x:c r="O29" s="499" t="n">
        <x:v>7</x:v>
      </x:c>
      <x:c r="P29" s="496" t="str"/>
      <x:c r="Q29" s="496" t="str">
        <x:v>动作必须清晰表达当前可执行指令</x:v>
      </x:c>
    </x:row>
    <x:row r="30" ht="62" customHeight="1">
      <x:c r="A30" s="495" t="str">
        <x:v>SYS-UI-001</x:v>
      </x:c>
      <x:c r="B30" s="495" t="str">
        <x:v>全局系统</x:v>
      </x:c>
      <x:c r="C30" s="495" t="str">
        <x:v>UI</x:v>
      </x:c>
      <x:c r="D30" s="496" t="str">
        <x:v>主 HUD 视觉系统</x:v>
      </x:c>
      <x:c r="E30" s="496" t="str">
        <x:v>显示必要信息而不破坏沉浸</x:v>
      </x:c>
      <x:c r="F30" s="496" t="str">
        <x:v>生命/稳定度、真相碎片、乘客获救、AI 服从度；支持隐藏式模式</x:v>
      </x:c>
      <x:c r="G30" s="496" t="str">
        <x:v>正常 / 警报 / 记忆干扰</x:v>
      </x:c>
      <x:c r="H30" s="496" t="str">
        <x:v>数值变化、警告脉冲</x:v>
      </x:c>
      <x:c r="I30" s="496" t="str">
        <x:v>SVG + 2× PNG</x:v>
      </x:c>
      <x:c r="J30" s="496" t="str">
        <x:v>UI 全局</x:v>
      </x:c>
      <x:c r="K30" s="497" t="str">
        <x:v>P0</x:v>
      </x:c>
      <x:c r="L30" s="497" t="str">
        <x:v>M1 垂直切片</x:v>
      </x:c>
      <x:c r="M30" s="497" t="str">
        <x:v>原型已有</x:v>
      </x:c>
      <x:c r="N30" s="498" t="n">
        <x:v>1</x:v>
      </x:c>
      <x:c r="O30" s="499" t="n">
        <x:v>5</x:v>
      </x:c>
      <x:c r="P30" s="496" t="str"/>
      <x:c r="Q30" s="496" t="str">
        <x:v>当前 HUD 仅功能原型；风格需与车票/列车屏一致</x:v>
      </x:c>
    </x:row>
    <x:row r="31" ht="62" customHeight="1">
      <x:c r="A31" s="495" t="str">
        <x:v>SYS-UI-002</x:v>
      </x:c>
      <x:c r="B31" s="495" t="str">
        <x:v>全局系统</x:v>
      </x:c>
      <x:c r="C31" s="495" t="str">
        <x:v>UI</x:v>
      </x:c>
      <x:c r="D31" s="496" t="str">
        <x:v>交互提示图标套装</x:v>
      </x:c>
      <x:c r="E31" s="496" t="str">
        <x:v>跨十种机制保持操作可读</x:v>
      </x:c>
      <x:c r="F31" s="496" t="str">
        <x:v>移动、观察、拿取、放置、连接、旋转、命令、录制、回放、选择</x:v>
      </x:c>
      <x:c r="G31" s="496" t="str">
        <x:v>键鼠 / 手柄</x:v>
      </x:c>
      <x:c r="H31" s="496" t="str">
        <x:v>出现、锁定、完成</x:v>
      </x:c>
      <x:c r="I31" s="496" t="str">
        <x:v>SVG + atlas</x:v>
      </x:c>
      <x:c r="J31" s="496" t="str">
        <x:v>UI 全局</x:v>
      </x:c>
      <x:c r="K31" s="497" t="str">
        <x:v>P0</x:v>
      </x:c>
      <x:c r="L31" s="497" t="str">
        <x:v>M1 垂直切片</x:v>
      </x:c>
      <x:c r="M31" s="497" t="str">
        <x:v>待制作</x:v>
      </x:c>
      <x:c r="N31" s="498" t="n">
        <x:v>20</x:v>
      </x:c>
      <x:c r="O31" s="499" t="n">
        <x:v>3</x:v>
      </x:c>
      <x:c r="P31" s="496" t="str"/>
      <x:c r="Q31" s="496" t="str">
        <x:v>图标在 24px 仍可辨</x:v>
      </x:c>
    </x:row>
    <x:row r="32" ht="62" customHeight="1">
      <x:c r="A32" s="495" t="str">
        <x:v>SYS-UI-003</x:v>
      </x:c>
      <x:c r="B32" s="495" t="str">
        <x:v>全局系统</x:v>
      </x:c>
      <x:c r="C32" s="495" t="str">
        <x:v>UI</x:v>
      </x:c>
      <x:c r="D32" s="496" t="str">
        <x:v>对话框与选择界面</x:v>
      </x:c>
      <x:c r="E32" s="496" t="str">
        <x:v>承载组员已有对话系统并升级表现</x:v>
      </x:c>
      <x:c r="F32" s="496" t="str">
        <x:v>说话人、头像、正文、两到三选项、已选痕迹、打断状态</x:v>
      </x:c>
      <x:c r="G32" s="496" t="str">
        <x:v>可信 / 系统入侵 / 记忆重叠</x:v>
      </x:c>
      <x:c r="H32" s="496" t="str">
        <x:v>打字、故障、选项锁定</x:v>
      </x:c>
      <x:c r="I32" s="496" t="str">
        <x:v>9-slice + SVG</x:v>
      </x:c>
      <x:c r="J32" s="496" t="str">
        <x:v>对话 UI</x:v>
      </x:c>
      <x:c r="K32" s="497" t="str">
        <x:v>P0</x:v>
      </x:c>
      <x:c r="L32" s="497" t="str">
        <x:v>M1 垂直切片</x:v>
      </x:c>
      <x:c r="M32" s="497" t="str">
        <x:v>原型已有</x:v>
      </x:c>
      <x:c r="N32" s="498" t="n">
        <x:v>3</x:v>
      </x:c>
      <x:c r="O32" s="499" t="n">
        <x:v>4</x:v>
      </x:c>
      <x:c r="P32" s="496" t="str"/>
      <x:c r="Q32" s="496" t="str">
        <x:v>兼容长短文本；选择结果视觉反馈明确</x:v>
      </x:c>
    </x:row>
    <x:row r="33" ht="62" customHeight="1">
      <x:c r="A33" s="495" t="str">
        <x:v>SYS-UI-004</x:v>
      </x:c>
      <x:c r="B33" s="495" t="str">
        <x:v>全局系统</x:v>
      </x:c>
      <x:c r="C33" s="495" t="str">
        <x:v>UI</x:v>
      </x:c>
      <x:c r="D33" s="496" t="str">
        <x:v>暂停 / 设置 / 辅助功能界面</x:v>
      </x:c>
      <x:c r="E33" s="496" t="str">
        <x:v>保证课堂试玩和跨平台可用</x:v>
      </x:c>
      <x:c r="F33" s="496" t="str">
        <x:v>暂停、音量、字幕、闪烁降低、色盲高亮、重新开始检查点</x:v>
      </x:c>
      <x:c r="G33" s="496" t="str">
        <x:v>桌面 / 手柄</x:v>
      </x:c>
      <x:c r="H33" s="496" t="str">
        <x:v>轻微过渡</x:v>
      </x:c>
      <x:c r="I33" s="496" t="str">
        <x:v>SVG + 2× PNG</x:v>
      </x:c>
      <x:c r="J33" s="496" t="str">
        <x:v>UI 全局</x:v>
      </x:c>
      <x:c r="K33" s="497" t="str">
        <x:v>P1</x:v>
      </x:c>
      <x:c r="L33" s="497" t="str">
        <x:v>M4 抛光</x:v>
      </x:c>
      <x:c r="M33" s="497" t="str">
        <x:v>待制作</x:v>
      </x:c>
      <x:c r="N33" s="498" t="n">
        <x:v>6</x:v>
      </x:c>
      <x:c r="O33" s="499" t="n">
        <x:v>4</x:v>
      </x:c>
      <x:c r="P33" s="496" t="str"/>
      <x:c r="Q33" s="496" t="str">
        <x:v>视觉不依赖仅颜色传达</x:v>
      </x:c>
    </x:row>
    <x:row r="34" ht="62" customHeight="1">
      <x:c r="A34" s="495" t="str">
        <x:v>SYS-UI-005</x:v>
      </x:c>
      <x:c r="B34" s="495" t="str">
        <x:v>全局系统</x:v>
      </x:c>
      <x:c r="C34" s="495" t="str">
        <x:v>UI</x:v>
      </x:c>
      <x:c r="D34" s="496" t="str">
        <x:v>章节标题卡与车票印章</x:v>
      </x:c>
      <x:c r="E34" s="496" t="str">
        <x:v>给每关独特开场并建立旅行仪式感</x:v>
      </x:c>
      <x:c r="F34" s="496" t="str">
        <x:v>10 个关卡名、日期、看似正常但逐渐错误的印章</x:v>
      </x:c>
      <x:c r="G34" s="496" t="str">
        <x:v>10 关 + 终局破版</x:v>
      </x:c>
      <x:c r="H34" s="496" t="str">
        <x:v>打孔、盖章、纸张翻面</x:v>
      </x:c>
      <x:c r="I34" s="496" t="str">
        <x:v>1920×1200 分层</x:v>
      </x:c>
      <x:c r="J34" s="496" t="str">
        <x:v>章节卡</x:v>
      </x:c>
      <x:c r="K34" s="497" t="str">
        <x:v>P1</x:v>
      </x:c>
      <x:c r="L34" s="497" t="str">
        <x:v>M3 全内容</x:v>
      </x:c>
      <x:c r="M34" s="497" t="str">
        <x:v>原型已有</x:v>
      </x:c>
      <x:c r="N34" s="498" t="n">
        <x:v>11</x:v>
      </x:c>
      <x:c r="O34" s="499" t="n">
        <x:v>5</x:v>
      </x:c>
      <x:c r="P34" s="496" t="str"/>
      <x:c r="Q34" s="496" t="str">
        <x:v>可复用当前世界标题触发逻辑</x:v>
      </x:c>
    </x:row>
    <x:row r="35" ht="62" customHeight="1">
      <x:c r="A35" s="495" t="str">
        <x:v>SYS-UI-006</x:v>
      </x:c>
      <x:c r="B35" s="495" t="str">
        <x:v>全局系统</x:v>
      </x:c>
      <x:c r="C35" s="495" t="str">
        <x:v>UI</x:v>
      </x:c>
      <x:c r="D35" s="496" t="str">
        <x:v>真相碎片 / 收藏档案界面</x:v>
      </x:c>
      <x:c r="E35" s="496" t="str">
        <x:v>把探索奖励和核心叙事连接</x:v>
      </x:c>
      <x:c r="F35" s="496" t="str">
        <x:v>车票残片、录音波形、人物记忆、AI 日志四类卡片</x:v>
      </x:c>
      <x:c r="G35" s="496" t="str">
        <x:v>未发现 / 已发现 / 矛盾</x:v>
      </x:c>
      <x:c r="H35" s="496" t="str">
        <x:v>卡片拼合、文字显影</x:v>
      </x:c>
      <x:c r="I35" s="496" t="str">
        <x:v>SVG + 2× PNG</x:v>
      </x:c>
      <x:c r="J35" s="496" t="str">
        <x:v>叙事 UI</x:v>
      </x:c>
      <x:c r="K35" s="497" t="str">
        <x:v>P1</x:v>
      </x:c>
      <x:c r="L35" s="497" t="str">
        <x:v>M3 全内容</x:v>
      </x:c>
      <x:c r="M35" s="497" t="str">
        <x:v>待制作</x:v>
      </x:c>
      <x:c r="N35" s="498" t="n">
        <x:v>16</x:v>
      </x:c>
      <x:c r="O35" s="499" t="n">
        <x:v>5</x:v>
      </x:c>
      <x:c r="P35" s="496" t="str"/>
      <x:c r="Q35" s="496" t="str">
        <x:v>每关 1–2 个，不要求全收集才能通关</x:v>
      </x:c>
    </x:row>
    <x:row r="36" ht="62" customHeight="1">
      <x:c r="A36" s="495" t="str">
        <x:v>SYS-VFX-001</x:v>
      </x:c>
      <x:c r="B36" s="495" t="str">
        <x:v>全局系统</x:v>
      </x:c>
      <x:c r="C36" s="495" t="str">
        <x:v>VFX</x:v>
      </x:c>
      <x:c r="D36" s="496" t="str">
        <x:v>交互可读性 VFX 套装</x:v>
      </x:c>
      <x:c r="E36" s="496" t="str">
        <x:v>不用大量箭头也让玩家看到可操作物</x:v>
      </x:c>
      <x:c r="F36" s="496" t="str">
        <x:v>轮廓光、接触火花、连接线、完成波纹、错误脉冲</x:v>
      </x:c>
      <x:c r="G36" s="496" t="str">
        <x:v>四种关卡色变体</x:v>
      </x:c>
      <x:c r="H36" s="496" t="str">
        <x:v>循环 + 一次性</x:v>
      </x:c>
      <x:c r="I36" s="496" t="str">
        <x:v>小图集 + 粒子纹理</x:v>
      </x:c>
      <x:c r="J36" s="496" t="str">
        <x:v>交互 VFX</x:v>
      </x:c>
      <x:c r="K36" s="497" t="str">
        <x:v>P0</x:v>
      </x:c>
      <x:c r="L36" s="497" t="str">
        <x:v>M1 垂直切片</x:v>
      </x:c>
      <x:c r="M36" s="497" t="str">
        <x:v>原型已有</x:v>
      </x:c>
      <x:c r="N36" s="498" t="n">
        <x:v>10</x:v>
      </x:c>
      <x:c r="O36" s="499" t="n">
        <x:v>4</x:v>
      </x:c>
      <x:c r="P36" s="496" t="str"/>
      <x:c r="Q36" s="496" t="str">
        <x:v>亮度不能盖过叙事焦点</x:v>
      </x:c>
    </x:row>
    <x:row r="37" ht="62" customHeight="1">
      <x:c r="A37" s="495" t="str">
        <x:v>SYS-VFX-002</x:v>
      </x:c>
      <x:c r="B37" s="495" t="str">
        <x:v>全局系统</x:v>
      </x:c>
      <x:c r="C37" s="495" t="str">
        <x:v>VFX</x:v>
      </x:c>
      <x:c r="D37" s="496" t="str">
        <x:v>列车运动氛围 VFX</x:v>
      </x:c>
      <x:c r="E37" s="496" t="str">
        <x:v>让每个车厢持续“活着”</x:v>
      </x:c>
      <x:c r="F37" s="496" t="str">
        <x:v>玻璃反光、灰尘、雨线、速度线、轻微色差、震动尘落</x:v>
      </x:c>
      <x:c r="G37" s="496" t="str">
        <x:v>平稳 / 加速 / 急刹</x:v>
      </x:c>
      <x:c r="H37" s="496" t="str">
        <x:v>无缝循环</x:v>
      </x:c>
      <x:c r="I37" s="496" t="str">
        <x:v>粒子贴图 + shader mask</x:v>
      </x:c>
      <x:c r="J37" s="496" t="str">
        <x:v>全局氛围</x:v>
      </x:c>
      <x:c r="K37" s="497" t="str">
        <x:v>P1</x:v>
      </x:c>
      <x:c r="L37" s="497" t="str">
        <x:v>M2 共享系统</x:v>
      </x:c>
      <x:c r="M37" s="497" t="str">
        <x:v>待制作</x:v>
      </x:c>
      <x:c r="N37" s="498" t="n">
        <x:v>8</x:v>
      </x:c>
      <x:c r="O37" s="499" t="n">
        <x:v>4</x:v>
      </x:c>
      <x:c r="P37" s="496" t="str"/>
      <x:c r="Q37" s="496" t="str">
        <x:v>低配模式可减少粒子</x:v>
      </x:c>
    </x:row>
    <x:row r="38" ht="62" customHeight="1">
      <x:c r="A38" s="495" t="str">
        <x:v>SYS-VFX-003</x:v>
      </x:c>
      <x:c r="B38" s="495" t="str">
        <x:v>全局系统</x:v>
      </x:c>
      <x:c r="C38" s="495" t="str">
        <x:v>VFX</x:v>
      </x:c>
      <x:c r="D38" s="496" t="str">
        <x:v>AI 接管 / 扫描 VFX</x:v>
      </x:c>
      <x:c r="E38" s="496" t="str">
        <x:v>统一所有系统威胁语言</x:v>
      </x:c>
      <x:c r="F38" s="496" t="str">
        <x:v>扫描线、网格锁定、像素重排、红色权限框、时间暂停边缘</x:v>
      </x:c>
      <x:c r="G38" s="496" t="str">
        <x:v>轻度 / 警报 / 全接管</x:v>
      </x:c>
      <x:c r="H38" s="496" t="str">
        <x:v>循环与转场</x:v>
      </x:c>
      <x:c r="I38" s="496" t="str">
        <x:v>Overlay + particle atlas</x:v>
      </x:c>
      <x:c r="J38" s="496" t="str">
        <x:v>AI 母题</x:v>
      </x:c>
      <x:c r="K38" s="497" t="str">
        <x:v>P0</x:v>
      </x:c>
      <x:c r="L38" s="497" t="str">
        <x:v>M2 共享系统</x:v>
      </x:c>
      <x:c r="M38" s="497" t="str">
        <x:v>待制作</x:v>
      </x:c>
      <x:c r="N38" s="498" t="n">
        <x:v>5</x:v>
      </x:c>
      <x:c r="O38" s="499" t="n">
        <x:v>5</x:v>
      </x:c>
      <x:c r="P38" s="496" t="str"/>
      <x:c r="Q38" s="496" t="str">
        <x:v>最终关组合使用，前期只露少量</x:v>
      </x:c>
    </x:row>
    <x:row r="39" ht="62" customHeight="1">
      <x:c r="A39" s="495" t="str">
        <x:v>SYS-VFX-004</x:v>
      </x:c>
      <x:c r="B39" s="495" t="str">
        <x:v>全局系统</x:v>
      </x:c>
      <x:c r="C39" s="495" t="str">
        <x:v>VFX</x:v>
      </x:c>
      <x:c r="D39" s="496" t="str">
        <x:v>记忆残影 / 时间回放 VFX</x:v>
      </x:c>
      <x:c r="E39" s="496" t="str">
        <x:v>明确区分现在、过去、伪造记忆</x:v>
      </x:c>
      <x:c r="F39" s="496" t="str">
        <x:v>双重曝光、拖影、擦除边缘、时间轨迹、幽灵脚印</x:v>
      </x:c>
      <x:c r="G39" s="496" t="str">
        <x:v>记录 / 回放 / 覆盖</x:v>
      </x:c>
      <x:c r="H39" s="496" t="str">
        <x:v>跟随骨架和路径</x:v>
      </x:c>
      <x:c r="I39" s="496" t="str">
        <x:v>Shader + atlas</x:v>
      </x:c>
      <x:c r="J39" s="496" t="str">
        <x:v>记忆系统</x:v>
      </x:c>
      <x:c r="K39" s="497" t="str">
        <x:v>P0</x:v>
      </x:c>
      <x:c r="L39" s="497" t="str">
        <x:v>M3 全内容</x:v>
      </x:c>
      <x:c r="M39" s="497" t="str">
        <x:v>待制作</x:v>
      </x:c>
      <x:c r="N39" s="498" t="n">
        <x:v>6</x:v>
      </x:c>
      <x:c r="O39" s="499" t="n">
        <x:v>5</x:v>
      </x:c>
      <x:c r="P39" s="496" t="str"/>
      <x:c r="Q39" s="496" t="str">
        <x:v>色彩和 AI 扫描必须可区分</x:v>
      </x:c>
    </x:row>
    <x:row r="40" ht="62" customHeight="1">
      <x:c r="A40" s="495" t="str">
        <x:v>SYS-VFX-005</x:v>
      </x:c>
      <x:c r="B40" s="495" t="str">
        <x:v>全局系统</x:v>
      </x:c>
      <x:c r="C40" s="495" t="str">
        <x:v>VFX</x:v>
      </x:c>
      <x:c r="D40" s="496" t="str">
        <x:v>关卡完成反馈套装</x:v>
      </x:c>
      <x:c r="E40" s="496" t="str">
        <x:v>给非战斗解谜同样有力的高潮</x:v>
      </x:c>
      <x:c r="F40" s="496" t="str">
        <x:v>车厢灯逐段点亮、门解锁能量波、乘客苏醒、窗外天气转清</x:v>
      </x:c>
      <x:c r="G40" s="496" t="str">
        <x:v>10 个色彩变体</x:v>
      </x:c>
      <x:c r="H40" s="496" t="str">
        <x:v>2–4 秒演出</x:v>
      </x:c>
      <x:c r="I40" s="496" t="str">
        <x:v>Overlay + props state</x:v>
      </x:c>
      <x:c r="J40" s="496" t="str">
        <x:v>完成反馈</x:v>
      </x:c>
      <x:c r="K40" s="497" t="str">
        <x:v>P1</x:v>
      </x:c>
      <x:c r="L40" s="497" t="str">
        <x:v>M3 全内容</x:v>
      </x:c>
      <x:c r="M40" s="497" t="str">
        <x:v>待制作</x:v>
      </x:c>
      <x:c r="N40" s="498" t="n">
        <x:v>10</x:v>
      </x:c>
      <x:c r="O40" s="499" t="n">
        <x:v>5</x:v>
      </x:c>
      <x:c r="P40" s="496" t="str"/>
      <x:c r="Q40" s="496" t="str">
        <x:v>每关至少同时改变室内与窗外各一项</x:v>
      </x:c>
    </x:row>
    <x:row r="41" ht="62" customHeight="1">
      <x:c r="A41" s="495" t="str">
        <x:v>SYS-TX-001</x:v>
      </x:c>
      <x:c r="B41" s="495" t="str">
        <x:v>全局系统</x:v>
      </x:c>
      <x:c r="C41" s="495" t="str">
        <x:v>转场</x:v>
      </x:c>
      <x:c r="D41" s="496" t="str">
        <x:v>车门穿越基础转场</x:v>
      </x:c>
      <x:c r="E41" s="496" t="str">
        <x:v>统一关卡切换但允许每关变奏</x:v>
      </x:c>
      <x:c r="F41" s="496" t="str">
        <x:v>门关闭遮屏、灯灭、窗外替换、门开见新材质</x:v>
      </x:c>
      <x:c r="G41" s="496" t="str">
        <x:v>正常 / 故障 / 强制</x:v>
      </x:c>
      <x:c r="H41" s="496" t="str">
        <x:v>2–3 秒</x:v>
      </x:c>
      <x:c r="I41" s="496" t="str">
        <x:v>分层 overlay</x:v>
      </x:c>
      <x:c r="J41" s="496" t="str">
        <x:v>转场</x:v>
      </x:c>
      <x:c r="K41" s="497" t="str">
        <x:v>P0</x:v>
      </x:c>
      <x:c r="L41" s="497" t="str">
        <x:v>M1 垂直切片</x:v>
      </x:c>
      <x:c r="M41" s="497" t="str">
        <x:v>待制作</x:v>
      </x:c>
      <x:c r="N41" s="498" t="n">
        <x:v>3</x:v>
      </x:c>
      <x:c r="O41" s="499" t="n">
        <x:v>3</x:v>
      </x:c>
      <x:c r="P41" s="496" t="str"/>
      <x:c r="Q41" s="496" t="str">
        <x:v>加载必须藏在全黑/门板阶段</x:v>
      </x:c>
    </x:row>
    <x:row r="42" ht="62" customHeight="1">
      <x:c r="A42" s="495" t="str">
        <x:v>SYS-TX-002</x:v>
      </x:c>
      <x:c r="B42" s="495" t="str">
        <x:v>全局系统</x:v>
      </x:c>
      <x:c r="C42" s="495" t="str">
        <x:v>转场</x:v>
      </x:c>
      <x:c r="D42" s="496" t="str">
        <x:v>时代材质蔓延转场</x:v>
      </x:c>
      <x:c r="E42" s="496" t="str">
        <x:v>表现同一车厢被另一时代“重写”</x:v>
      </x:c>
      <x:c r="F42" s="496" t="str">
        <x:v>金属→木、霓虹→战损、植物→记忆像素等材质覆盖</x:v>
      </x:c>
      <x:c r="G42" s="496" t="str">
        <x:v>10 对关卡连接</x:v>
      </x:c>
      <x:c r="H42" s="496" t="str">
        <x:v>遮罩推进 1–2 秒</x:v>
      </x:c>
      <x:c r="I42" s="496" t="str">
        <x:v>Mask + texture overlays</x:v>
      </x:c>
      <x:c r="J42" s="496" t="str">
        <x:v>转场</x:v>
      </x:c>
      <x:c r="K42" s="497" t="str">
        <x:v>P1</x:v>
      </x:c>
      <x:c r="L42" s="497" t="str">
        <x:v>M3 全内容</x:v>
      </x:c>
      <x:c r="M42" s="497" t="str">
        <x:v>待制作</x:v>
      </x:c>
      <x:c r="N42" s="498" t="n">
        <x:v>10</x:v>
      </x:c>
      <x:c r="O42" s="499" t="n">
        <x:v>6</x:v>
      </x:c>
      <x:c r="P42" s="496" t="str"/>
      <x:c r="Q42" s="496" t="str">
        <x:v>首尾颜色与色彩脚本一致</x:v>
      </x:c>
    </x:row>
    <x:row r="43" ht="62" customHeight="1">
      <x:c r="A43" s="495" t="str">
        <x:v>CAR-01-ENV-01</x:v>
      </x:c>
      <x:c r="B43" s="495" t="str">
        <x:v>第一节车厢｜正常列车 / 教程</x:v>
      </x:c>
      <x:c r="C43" s="495" t="str">
        <x:v>环境背景</x:v>
      </x:c>
      <x:c r="D43" s="496" t="str">
        <x:v>正常列车窗外全景</x:v>
      </x:c>
      <x:c r="E43" s="496" t="str">
        <x:v>先让玩家相信这是一趟普通但略微不对劲的列车。</x:v>
      </x:c>
      <x:c r="F43" s="496" t="str">
        <x:v>现有 11408×941 左右全景；做构图清理、色值统一和 AI 母题检查。主题：礼貌秩序里藏着第一枚 AI 眼形</x:v>
      </x:c>
      <x:c r="G43" s="496" t="str">
        <x:v>源图 / 运行时三切片</x:v>
      </x:c>
      <x:c r="H43" s="496" t="str">
        <x:v>视差移动</x:v>
      </x:c>
      <x:c r="I43" s="496" t="str">
        <x:v>现有 PNG 源图 + 自动生成 JPG chunks</x:v>
      </x:c>
      <x:c r="J43" s="496" t="str">
        <x:v>关卡 1</x:v>
      </x:c>
      <x:c r="K43" s="497" t="str">
        <x:v>P0</x:v>
      </x:c>
      <x:c r="L43" s="497" t="str">
        <x:v>M1 垂直切片</x:v>
      </x:c>
      <x:c r="M43" s="497" t="str">
        <x:v>已集成</x:v>
      </x:c>
      <x:c r="N43" s="498" t="n">
        <x:v>1</x:v>
      </x:c>
      <x:c r="O43" s="499" t="n">
        <x:v>0.5</x:v>
      </x:c>
      <x:c r="P43" s="496" t="str"/>
      <x:c r="Q43" s="496" t="str">
        <x:v>现有文件：world_01_tutorial_panorama_fullres.png；需最终美术审核</x:v>
      </x:c>
    </x:row>
    <x:row r="44" ht="62" customHeight="1">
      <x:c r="A44" s="495" t="str">
        <x:v>CAR-01-ENV-02</x:v>
      </x:c>
      <x:c r="B44" s="495" t="str">
        <x:v>第一节车厢｜正常列车 / 教程</x:v>
      </x:c>
      <x:c r="C44" s="495" t="str">
        <x:v>车厢皮肤</x:v>
      </x:c>
      <x:c r="D44" s="496" t="str">
        <x:v>正常列车车厢内饰覆盖层</x:v>
      </x:c>
      <x:c r="E44" s="496" t="str">
        <x:v>让玩家明确处于同一列车但时代材质被重写</x:v>
      </x:c>
      <x:c r="F44" s="496" t="str">
        <x:v>现代通勤车厢内饰覆盖：浅灰金属、旧红座椅、规则扶手；只允许 5% 异常细节</x:v>
      </x:c>
      <x:c r="G44" s="496" t="str">
        <x:v>完好 / 受损 / 解谜完成</x:v>
      </x:c>
      <x:c r="H44" s="496" t="str">
        <x:v>局部状态切换</x:v>
      </x:c>
      <x:c r="I44" s="496" t="str">
        <x:v>分层 PNG/WebP，匹配统一车厢骨架</x:v>
      </x:c>
      <x:c r="J44" s="496" t="str">
        <x:v>车厢骨架</x:v>
      </x:c>
      <x:c r="K44" s="497" t="str">
        <x:v>P0</x:v>
      </x:c>
      <x:c r="L44" s="497" t="str">
        <x:v>M1 垂直切片</x:v>
      </x:c>
      <x:c r="M44" s="497" t="str">
        <x:v>待制作</x:v>
      </x:c>
      <x:c r="N44" s="498" t="n">
        <x:v>3</x:v>
      </x:c>
      <x:c r="O44" s="499" t="n">
        <x:v>3.5</x:v>
      </x:c>
      <x:c r="P44" s="496" t="str"/>
      <x:c r="Q44" s="496" t="str">
        <x:v>必须保留门窗锚点，不能每关改变碰撞布局</x:v>
      </x:c>
    </x:row>
    <x:row r="45" ht="62" customHeight="1">
      <x:c r="A45" s="495" t="str">
        <x:v>CAR-01-ENV-03</x:v>
      </x:c>
      <x:c r="B45" s="495" t="str">
        <x:v>第一节车厢｜正常列车 / 教程</x:v>
      </x:c>
      <x:c r="C45" s="495" t="str">
        <x:v>前景层</x:v>
      </x:c>
      <x:c r="D45" s="496" t="str">
        <x:v>正常列车近景框景套装</x:v>
      </x:c>
      <x:c r="E45" s="496" t="str">
        <x:v>建立前、中、后景，避免只剩一张横向背景</x:v>
      </x:c>
      <x:c r="F45" s="496" t="str">
        <x:v>近景座椅靠背、吊环和站务推车；窗边放一张打孔异常的车票</x:v>
      </x:c>
      <x:c r="G45" s="496" t="str">
        <x:v>左 / 右 / 中段，至少 3 个构图</x:v>
      </x:c>
      <x:c r="H45" s="496" t="str">
        <x:v>靠近玩家淡出</x:v>
      </x:c>
      <x:c r="I45" s="496" t="str">
        <x:v>透明 PNG/WebP，2×</x:v>
      </x:c>
      <x:c r="J45" s="496" t="str">
        <x:v>前景层</x:v>
      </x:c>
      <x:c r="K45" s="497" t="str">
        <x:v>P0</x:v>
      </x:c>
      <x:c r="L45" s="497" t="str">
        <x:v>M1 垂直切片</x:v>
      </x:c>
      <x:c r="M45" s="497" t="str">
        <x:v>待制作</x:v>
      </x:c>
      <x:c r="N45" s="498" t="n">
        <x:v>6</x:v>
      </x:c>
      <x:c r="O45" s="499" t="n">
        <x:v>3</x:v>
      </x:c>
      <x:c r="P45" s="496" t="str"/>
      <x:c r="Q45" s="496" t="str">
        <x:v>每个 960×600 画面最多遮 20% 核心行动区</x:v>
      </x:c>
    </x:row>
    <x:row r="46" ht="62" customHeight="1">
      <x:c r="A46" s="495" t="str">
        <x:v>CAR-01-ENV-04</x:v>
      </x:c>
      <x:c r="B46" s="495" t="str">
        <x:v>第一节车厢｜正常列车 / 教程</x:v>
      </x:c>
      <x:c r="C46" s="495" t="str">
        <x:v>环境动画</x:v>
      </x:c>
      <x:c r="D46" s="496" t="str">
        <x:v>正常列车氛围循环包</x:v>
      </x:c>
      <x:c r="E46" s="496" t="str">
        <x:v>让静态全景持续有生命和时间感</x:v>
      </x:c>
      <x:c r="F46" s="496" t="str">
        <x:v>吊环轻摆、灯管偶发闪烁、窗面反光与远处乘客剪影</x:v>
      </x:c>
      <x:c r="G46" s="496" t="str">
        <x:v>近 / 中 / 远三层循环</x:v>
      </x:c>
      <x:c r="H46" s="496" t="str">
        <x:v>2–8 秒错峰循环</x:v>
      </x:c>
      <x:c r="I46" s="496" t="str">
        <x:v>Particle atlas / loop strips</x:v>
      </x:c>
      <x:c r="J46" s="496" t="str">
        <x:v>全局氛围</x:v>
      </x:c>
      <x:c r="K46" s="497" t="str">
        <x:v>P1</x:v>
      </x:c>
      <x:c r="L46" s="497" t="str">
        <x:v>M4 抛光</x:v>
      </x:c>
      <x:c r="M46" s="497" t="str">
        <x:v>待制作</x:v>
      </x:c>
      <x:c r="N46" s="498" t="n">
        <x:v>6</x:v>
      </x:c>
      <x:c r="O46" s="499" t="n">
        <x:v>3.5</x:v>
      </x:c>
      <x:c r="P46" s="496" t="str"/>
      <x:c r="Q46" s="496" t="str">
        <x:v>至少一个室内循环 + 一个窗外循环</x:v>
      </x:c>
    </x:row>
    <x:row r="47" ht="62" customHeight="1">
      <x:c r="A47" s="495" t="str">
        <x:v>CAR-01-LGT-01</x:v>
      </x:c>
      <x:c r="B47" s="495" t="str">
        <x:v>第一节车厢｜正常列车 / 教程</x:v>
      </x:c>
      <x:c r="C47" s="495" t="str">
        <x:v>灯光 / 调色</x:v>
      </x:c>
      <x:c r="D47" s="496" t="str">
        <x:v>正常列车灯光与完成态</x:v>
      </x:c>
      <x:c r="E47" s="496" t="str">
        <x:v>把交互焦点、危险和叙事高潮分开读清</x:v>
      </x:c>
      <x:c r="F47" s="496" t="str">
        <x:v>主色脚本：#222B34 / #596B78 / #E6D3A2 / #F3B85B；完成后画面必须发生可见的光线变化</x:v>
      </x:c>
      <x:c r="G47" s="496" t="str">
        <x:v>探索 / 危险 / 完成</x:v>
      </x:c>
      <x:c r="H47" s="496" t="str">
        <x:v>灯光渐变 1–3 秒</x:v>
      </x:c>
      <x:c r="I47" s="496" t="str">
        <x:v>Overlay / LUT 参考</x:v>
      </x:c>
      <x:c r="J47" s="496" t="str">
        <x:v>关卡 1</x:v>
      </x:c>
      <x:c r="K47" s="497" t="str">
        <x:v>P0</x:v>
      </x:c>
      <x:c r="L47" s="497" t="str">
        <x:v>M1 垂直切片</x:v>
      </x:c>
      <x:c r="M47" s="497" t="str">
        <x:v>待制作</x:v>
      </x:c>
      <x:c r="N47" s="498" t="n">
        <x:v>3</x:v>
      </x:c>
      <x:c r="O47" s="499" t="n">
        <x:v>1.5</x:v>
      </x:c>
      <x:c r="P47" s="496" t="str"/>
      <x:c r="Q47" s="496" t="str">
        <x:v>主角与交互物对比度在三种状态均合格</x:v>
      </x:c>
    </x:row>
    <x:row r="48" ht="62" customHeight="1">
      <x:c r="A48" s="495" t="str">
        <x:v>CAR-01-PRP-01</x:v>
      </x:c>
      <x:c r="B48" s="495" t="str">
        <x:v>第一节车厢｜正常列车 / 教程</x:v>
      </x:c>
      <x:c r="C48" s="495" t="str">
        <x:v>核心机制道具</x:v>
      </x:c>
      <x:c r="D48" s="496" t="str">
        <x:v>正常列车主机关套装</x:v>
      </x:c>
      <x:c r="E48" s="496" t="str">
        <x:v>支撑核心机制：修复断电回路：观察→连接→给车门供电</x:v>
      </x:c>
      <x:c r="F48" s="496" t="str">
        <x:v>配电箱、三色电缆、保险栓、紧急电源手柄</x:v>
      </x:c>
      <x:c r="G48" s="496" t="str">
        <x:v>断电 / 半供电 / 接错 / 完成点亮</x:v>
      </x:c>
      <x:c r="H48" s="496" t="str">
        <x:v>操作、反馈、完成动作</x:v>
      </x:c>
      <x:c r="I48" s="496" t="str">
        <x:v>Sprite atlas + 分层静态件</x:v>
      </x:c>
      <x:c r="J48" s="496" t="str">
        <x:v>关卡 1</x:v>
      </x:c>
      <x:c r="K48" s="497" t="str">
        <x:v>P0</x:v>
      </x:c>
      <x:c r="L48" s="497" t="str">
        <x:v>M1 垂直切片</x:v>
      </x:c>
      <x:c r="M48" s="497" t="str">
        <x:v>待制作</x:v>
      </x:c>
      <x:c r="N48" s="498" t="n">
        <x:v>8</x:v>
      </x:c>
      <x:c r="O48" s="499" t="n">
        <x:v>5.5</x:v>
      </x:c>
      <x:c r="P48" s="496" t="str"/>
      <x:c r="Q48" s="496" t="str">
        <x:v>每个状态不靠文字也能分辨；手部接触点明确</x:v>
      </x:c>
    </x:row>
    <x:row r="49" ht="62" customHeight="1">
      <x:c r="A49" s="495" t="str">
        <x:v>CAR-01-PRP-02</x:v>
      </x:c>
      <x:c r="B49" s="495" t="str">
        <x:v>第一节车厢｜正常列车 / 教程</x:v>
      </x:c>
      <x:c r="C49" s="495" t="str">
        <x:v>机制反馈</x:v>
      </x:c>
      <x:c r="D49" s="496" t="str">
        <x:v>正常列车线路 / 路径 / 因果可视化</x:v>
      </x:c>
      <x:c r="E49" s="496" t="str">
        <x:v>让玩家能读懂自己改变了什么</x:v>
      </x:c>
      <x:c r="F49" s="496" t="str">
        <x:v>用关卡材质呈现输入→传输→结果；围绕“修复断电回路：观察→连接→给车门供电”制作视觉链</x:v>
      </x:c>
      <x:c r="G49" s="496" t="str">
        <x:v>未连接 / 部分 / 错误 / 成功</x:v>
      </x:c>
      <x:c r="H49" s="496" t="str">
        <x:v>沿路径传播</x:v>
      </x:c>
      <x:c r="I49" s="496" t="str">
        <x:v>Overlay / decal / VFX atlas</x:v>
      </x:c>
      <x:c r="J49" s="496" t="str">
        <x:v>关卡 1</x:v>
      </x:c>
      <x:c r="K49" s="497" t="str">
        <x:v>P0</x:v>
      </x:c>
      <x:c r="L49" s="497" t="str">
        <x:v>M1 垂直切片</x:v>
      </x:c>
      <x:c r="M49" s="497" t="str">
        <x:v>待制作</x:v>
      </x:c>
      <x:c r="N49" s="498" t="n">
        <x:v>4</x:v>
      </x:c>
      <x:c r="O49" s="499" t="n">
        <x:v>3</x:v>
      </x:c>
      <x:c r="P49" s="496" t="str"/>
      <x:c r="Q49" s="496" t="str">
        <x:v>反馈必须在一屏内或用清晰方向引导</x:v>
      </x:c>
    </x:row>
    <x:row r="50" ht="62" customHeight="1">
      <x:c r="A50" s="495" t="str">
        <x:v>CAR-01-CHR-01</x:v>
      </x:c>
      <x:c r="B50" s="495" t="str">
        <x:v>第一节车厢｜正常列车 / 教程</x:v>
      </x:c>
      <x:c r="C50" s="495" t="str">
        <x:v>角色 / NPC</x:v>
      </x:c>
      <x:c r="D50" s="496" t="str">
        <x:v>正常列车关键角色包</x:v>
      </x:c>
      <x:c r="E50" s="496" t="str">
        <x:v>让机制通过关系和选择产生意义</x:v>
      </x:c>
      <x:c r="F50" s="496" t="str">
        <x:v>列车员 NPC + 2 名模糊乘客；列车员过于准确地预判玩家动作</x:v>
      </x:c>
      <x:c r="G50" s="496" t="str">
        <x:v>中性 / 请求 / 受威胁 / 获救</x:v>
      </x:c>
      <x:c r="H50" s="496" t="str">
        <x:v>idle、反应、合作、离场</x:v>
      </x:c>
      <x:c r="I50" s="496" t="str">
        <x:v>模块角色 atlas + portrait</x:v>
      </x:c>
      <x:c r="J50" s="496" t="str">
        <x:v>关卡 1</x:v>
      </x:c>
      <x:c r="K50" s="497" t="str">
        <x:v>P0</x:v>
      </x:c>
      <x:c r="L50" s="497" t="str">
        <x:v>M1 垂直切片</x:v>
      </x:c>
      <x:c r="M50" s="497" t="str">
        <x:v>待制作</x:v>
      </x:c>
      <x:c r="N50" s="498" t="n">
        <x:v>4</x:v>
      </x:c>
      <x:c r="O50" s="499" t="n">
        <x:v>5</x:v>
      </x:c>
      <x:c r="P50" s="496" t="str"/>
      <x:c r="Q50" s="496" t="str">
        <x:v>至少一名角色会因玩家行为改变姿态/位置</x:v>
      </x:c>
    </x:row>
    <x:row r="51" ht="62" customHeight="1">
      <x:c r="A51" s="495" t="str">
        <x:v>CAR-01-HAZ-01</x:v>
      </x:c>
      <x:c r="B51" s="495" t="str">
        <x:v>第一节车厢｜正常列车 / 教程</x:v>
      </x:c>
      <x:c r="C51" s="495" t="str">
        <x:v>危险与导航</x:v>
      </x:c>
      <x:c r="D51" s="496" t="str">
        <x:v>正常列车非战斗压力套装</x:v>
      </x:c>
      <x:c r="E51" s="496" t="str">
        <x:v>提供挑战但保留多种解法</x:v>
      </x:c>
      <x:c r="F51" s="496" t="str">
        <x:v>无战斗；黑暗区、漏电火花、短时门夹风险</x:v>
      </x:c>
      <x:c r="G51" s="496" t="str">
        <x:v>预警 / 激活 / 可绕过 / 已解除</x:v>
      </x:c>
      <x:c r="H51" s="496" t="str">
        <x:v>预警循环 + 解除反馈</x:v>
      </x:c>
      <x:c r="I51" s="496" t="str">
        <x:v>Props + VFX</x:v>
      </x:c>
      <x:c r="J51" s="496" t="str">
        <x:v>关卡 1</x:v>
      </x:c>
      <x:c r="K51" s="497" t="str">
        <x:v>P1</x:v>
      </x:c>
      <x:c r="L51" s="497" t="str">
        <x:v>M3 全内容</x:v>
      </x:c>
      <x:c r="M51" s="497" t="str">
        <x:v>待制作</x:v>
      </x:c>
      <x:c r="N51" s="498" t="n">
        <x:v>5</x:v>
      </x:c>
      <x:c r="O51" s="499" t="n">
        <x:v>3.5</x:v>
      </x:c>
      <x:c r="P51" s="496" t="str"/>
      <x:c r="Q51" s="496" t="str">
        <x:v>危险出现前至少 0.5 秒可读预警</x:v>
      </x:c>
    </x:row>
    <x:row r="52" ht="62" customHeight="1">
      <x:c r="A52" s="495" t="str">
        <x:v>CAR-01-NAR-01</x:v>
      </x:c>
      <x:c r="B52" s="495" t="str">
        <x:v>第一节车厢｜正常列车 / 教程</x:v>
      </x:c>
      <x:c r="C52" s="495" t="str">
        <x:v>环境叙事</x:v>
      </x:c>
      <x:c r="D52" s="496" t="str">
        <x:v>正常列车真相碎片</x:v>
      </x:c>
      <x:c r="E52" s="496" t="str">
        <x:v>把探索奖励连到 AI 控制与主角身份</x:v>
      </x:c>
      <x:c r="F52" s="496" t="str">
        <x:v>欢迎车票背面的错误日期与玩家姓名</x:v>
      </x:c>
      <x:c r="G52" s="496" t="str">
        <x:v>未发现 / 显影 / 收录</x:v>
      </x:c>
      <x:c r="H52" s="496" t="str">
        <x:v>拾取/拼合 1 秒</x:v>
      </x:c>
      <x:c r="I52" s="496" t="str">
        <x:v>PNG + UI card</x:v>
      </x:c>
      <x:c r="J52" s="496" t="str">
        <x:v>真相碎片</x:v>
      </x:c>
      <x:c r="K52" s="497" t="str">
        <x:v>P1</x:v>
      </x:c>
      <x:c r="L52" s="497" t="str">
        <x:v>M3 全内容</x:v>
      </x:c>
      <x:c r="M52" s="497" t="str">
        <x:v>待制作</x:v>
      </x:c>
      <x:c r="N52" s="498" t="n">
        <x:v>2</x:v>
      </x:c>
      <x:c r="O52" s="499" t="n">
        <x:v>1.5</x:v>
      </x:c>
      <x:c r="P52" s="496" t="str"/>
      <x:c r="Q52" s="496" t="str">
        <x:v>不能与通关必需信息混淆</x:v>
      </x:c>
    </x:row>
    <x:row r="53" ht="62" customHeight="1">
      <x:c r="A53" s="495" t="str">
        <x:v>CAR-01-TX-01</x:v>
      </x:c>
      <x:c r="B53" s="495" t="str">
        <x:v>第一节车厢｜正常列车 / 教程</x:v>
      </x:c>
      <x:c r="C53" s="495" t="str">
        <x:v>转场</x:v>
      </x:c>
      <x:c r="D53" s="496" t="str">
        <x:v>正常列车离场转场</x:v>
      </x:c>
      <x:c r="E53" s="496" t="str">
        <x:v>将本关视觉语言自然变成下一关</x:v>
      </x:c>
      <x:c r="F53" s="496" t="str">
        <x:v>灯逐节熄灭，车窗短暂映出不属于主角的脸</x:v>
      </x:c>
      <x:c r="G53" s="496" t="str">
        <x:v>正常 / 低稳定度变体</x:v>
      </x:c>
      <x:c r="H53" s="496" t="str">
        <x:v>2–4 秒</x:v>
      </x:c>
      <x:c r="I53" s="496" t="str">
        <x:v>Overlay + props states</x:v>
      </x:c>
      <x:c r="J53" s="496" t="str">
        <x:v>转场</x:v>
      </x:c>
      <x:c r="K53" s="497" t="str">
        <x:v>P1</x:v>
      </x:c>
      <x:c r="L53" s="497" t="str">
        <x:v>M3 全内容</x:v>
      </x:c>
      <x:c r="M53" s="497" t="str">
        <x:v>待制作</x:v>
      </x:c>
      <x:c r="N53" s="498" t="n">
        <x:v>2</x:v>
      </x:c>
      <x:c r="O53" s="499" t="n">
        <x:v>2</x:v>
      </x:c>
      <x:c r="P53" s="496" t="str"/>
      <x:c r="Q53" s="496" t="str">
        <x:v>加载隐藏在门板、黑场或全屏材质蔓延中</x:v>
      </x:c>
    </x:row>
    <x:row r="54" ht="62" customHeight="1">
      <x:c r="A54" s="495" t="str">
        <x:v>CAR-01-UI-01</x:v>
      </x:c>
      <x:c r="B54" s="495" t="str">
        <x:v>第一节车厢｜正常列车 / 教程</x:v>
      </x:c>
      <x:c r="C54" s="495" t="str">
        <x:v>UI / 图标</x:v>
      </x:c>
      <x:c r="D54" s="496" t="str">
        <x:v>正常列车机制图标与教程卡</x:v>
      </x:c>
      <x:c r="E54" s="496" t="str">
        <x:v>让新机制在 10–20 秒内可学会</x:v>
      </x:c>
      <x:c r="F54" s="496" t="str">
        <x:v>为“修复断电回路：观察→连接→给车门供电”制作动作图标、状态图例和一张无文字示意卡</x:v>
      </x:c>
      <x:c r="G54" s="496" t="str">
        <x:v>键鼠 / 手柄 / 完成</x:v>
      </x:c>
      <x:c r="H54" s="496" t="str">
        <x:v>出现、确认、淡出</x:v>
      </x:c>
      <x:c r="I54" s="496" t="str">
        <x:v>SVG + 2× PNG</x:v>
      </x:c>
      <x:c r="J54" s="496" t="str">
        <x:v>UI 全局</x:v>
      </x:c>
      <x:c r="K54" s="497" t="str">
        <x:v>P0</x:v>
      </x:c>
      <x:c r="L54" s="497" t="str">
        <x:v>M1 垂直切片</x:v>
      </x:c>
      <x:c r="M54" s="497" t="str">
        <x:v>待制作</x:v>
      </x:c>
      <x:c r="N54" s="498" t="n">
        <x:v>6</x:v>
      </x:c>
      <x:c r="O54" s="499" t="n">
        <x:v>2</x:v>
      </x:c>
      <x:c r="P54" s="496" t="str"/>
      <x:c r="Q54" s="496" t="str">
        <x:v>不依赖英文；课堂试玩可独立理解</x:v>
      </x:c>
    </x:row>
    <x:row r="55" ht="62" customHeight="1">
      <x:c r="A55" s="495" t="str">
        <x:v>CAR-01-SET-01</x:v>
      </x:c>
      <x:c r="B55" s="495" t="str">
        <x:v>第一节车厢｜正常列车 / 教程</x:v>
      </x:c>
      <x:c r="C55" s="495" t="str">
        <x:v>高潮演出</x:v>
      </x:c>
      <x:c r="D55" s="496" t="str">
        <x:v>正常列车关卡完成场景</x:v>
      </x:c>
      <x:c r="E55" s="496" t="str">
        <x:v>让解谜高潮拥有与战斗同等的视觉份量</x:v>
      </x:c>
      <x:c r="F55" s="496" t="str">
        <x:v>供电完成后整车灯亮，但所有乘客同时转头看向玩家</x:v>
      </x:c>
      <x:c r="G55" s="496" t="str">
        <x:v>进入 / 进行 / 完成 / 失败恢复</x:v>
      </x:c>
      <x:c r="H55" s="496" t="str">
        <x:v>3–8 秒分镜演出</x:v>
      </x:c>
      <x:c r="I55" s="496" t="str">
        <x:v>分层场景 + VFX</x:v>
      </x:c>
      <x:c r="J55" s="496" t="str">
        <x:v>关卡 1</x:v>
      </x:c>
      <x:c r="K55" s="497" t="str">
        <x:v>P1</x:v>
      </x:c>
      <x:c r="L55" s="497" t="str">
        <x:v>M4 抛光</x:v>
      </x:c>
      <x:c r="M55" s="497" t="str">
        <x:v>待制作</x:v>
      </x:c>
      <x:c r="N55" s="498" t="n">
        <x:v>1</x:v>
      </x:c>
      <x:c r="O55" s="499" t="n">
        <x:v>4</x:v>
      </x:c>
      <x:c r="P55" s="496" t="str"/>
      <x:c r="Q55" s="496" t="str">
        <x:v>镜头不夺走玩家控制超过必要时长</x:v>
      </x:c>
    </x:row>
    <x:row r="56" ht="62" customHeight="1">
      <x:c r="A56" s="495" t="str">
        <x:v>CAR-02-ENV-01</x:v>
      </x:c>
      <x:c r="B56" s="495" t="str">
        <x:v>第二节车厢｜AI 灾变 / 伪未来</x:v>
      </x:c>
      <x:c r="C56" s="495" t="str">
        <x:v>环境背景</x:v>
      </x:c>
      <x:c r="D56" s="496" t="str">
        <x:v>AI 灾变窗外全景</x:v>
      </x:c>
      <x:c r="E56" s="496" t="str">
        <x:v>玩家以为来到 AI 末日，后来发现这是系统制造的恐惧测试。</x:v>
      </x:c>
      <x:c r="F56" s="496" t="str">
        <x:v>现有 11408×941 左右全景；做构图清理、色值统一和 AI 母题检查。主题：明显扫描眼与权限网格</x:v>
      </x:c>
      <x:c r="G56" s="496" t="str">
        <x:v>源图 / 运行时三切片</x:v>
      </x:c>
      <x:c r="H56" s="496" t="str">
        <x:v>视差移动</x:v>
      </x:c>
      <x:c r="I56" s="496" t="str">
        <x:v>现有 PNG 源图 + 自动生成 JPG chunks</x:v>
      </x:c>
      <x:c r="J56" s="496" t="str">
        <x:v>关卡 2</x:v>
      </x:c>
      <x:c r="K56" s="497" t="str">
        <x:v>P0</x:v>
      </x:c>
      <x:c r="L56" s="497" t="str">
        <x:v>M1 垂直切片</x:v>
      </x:c>
      <x:c r="M56" s="497" t="str">
        <x:v>已集成</x:v>
      </x:c>
      <x:c r="N56" s="498" t="n">
        <x:v>1</x:v>
      </x:c>
      <x:c r="O56" s="499" t="n">
        <x:v>0.5</x:v>
      </x:c>
      <x:c r="P56" s="496" t="str"/>
      <x:c r="Q56" s="496" t="str">
        <x:v>现有文件：world_02_ai_apocalypse_panorama_fullres.png；需最终美术审核</x:v>
      </x:c>
    </x:row>
    <x:row r="57" ht="62" customHeight="1">
      <x:c r="A57" s="495" t="str">
        <x:v>CAR-02-ENV-02</x:v>
      </x:c>
      <x:c r="B57" s="495" t="str">
        <x:v>第二节车厢｜AI 灾变 / 伪未来</x:v>
      </x:c>
      <x:c r="C57" s="495" t="str">
        <x:v>车厢皮肤</x:v>
      </x:c>
      <x:c r="D57" s="496" t="str">
        <x:v>AI 灾变车厢内饰覆盖层</x:v>
      </x:c>
      <x:c r="E57" s="496" t="str">
        <x:v>让玩家明确处于同一列车但时代材质被重写</x:v>
      </x:c>
      <x:c r="F57" s="496" t="str">
        <x:v>烧蚀金属、断裂屏幕、悬挂电缆；保留教程车厢骨架以显示是同一空间</x:v>
      </x:c>
      <x:c r="G57" s="496" t="str">
        <x:v>完好 / 受损 / 解谜完成</x:v>
      </x:c>
      <x:c r="H57" s="496" t="str">
        <x:v>局部状态切换</x:v>
      </x:c>
      <x:c r="I57" s="496" t="str">
        <x:v>分层 PNG/WebP，匹配统一车厢骨架</x:v>
      </x:c>
      <x:c r="J57" s="496" t="str">
        <x:v>车厢骨架</x:v>
      </x:c>
      <x:c r="K57" s="497" t="str">
        <x:v>P0</x:v>
      </x:c>
      <x:c r="L57" s="497" t="str">
        <x:v>M1 垂直切片</x:v>
      </x:c>
      <x:c r="M57" s="497" t="str">
        <x:v>待制作</x:v>
      </x:c>
      <x:c r="N57" s="498" t="n">
        <x:v>3</x:v>
      </x:c>
      <x:c r="O57" s="499" t="n">
        <x:v>3.5</x:v>
      </x:c>
      <x:c r="P57" s="496" t="str"/>
      <x:c r="Q57" s="496" t="str">
        <x:v>必须保留门窗锚点，不能每关改变碰撞布局</x:v>
      </x:c>
    </x:row>
    <x:row r="58" ht="62" customHeight="1">
      <x:c r="A58" s="495" t="str">
        <x:v>CAR-02-ENV-03</x:v>
      </x:c>
      <x:c r="B58" s="495" t="str">
        <x:v>第二节车厢｜AI 灾变 / 伪未来</x:v>
      </x:c>
      <x:c r="C58" s="495" t="str">
        <x:v>前景层</x:v>
      </x:c>
      <x:c r="D58" s="496" t="str">
        <x:v>AI 灾变近景框景套装</x:v>
      </x:c>
      <x:c r="E58" s="496" t="str">
        <x:v>建立前、中、后景，避免只剩一张横向背景</x:v>
      </x:c>
      <x:c r="F58" s="496" t="str">
        <x:v>破裂屏幕边、机械臂、低垂电缆和冒烟座椅</x:v>
      </x:c>
      <x:c r="G58" s="496" t="str">
        <x:v>左 / 右 / 中段，至少 3 个构图</x:v>
      </x:c>
      <x:c r="H58" s="496" t="str">
        <x:v>靠近玩家淡出</x:v>
      </x:c>
      <x:c r="I58" s="496" t="str">
        <x:v>透明 PNG/WebP，2×</x:v>
      </x:c>
      <x:c r="J58" s="496" t="str">
        <x:v>前景层</x:v>
      </x:c>
      <x:c r="K58" s="497" t="str">
        <x:v>P0</x:v>
      </x:c>
      <x:c r="L58" s="497" t="str">
        <x:v>M1 垂直切片</x:v>
      </x:c>
      <x:c r="M58" s="497" t="str">
        <x:v>待制作</x:v>
      </x:c>
      <x:c r="N58" s="498" t="n">
        <x:v>6</x:v>
      </x:c>
      <x:c r="O58" s="499" t="n">
        <x:v>3</x:v>
      </x:c>
      <x:c r="P58" s="496" t="str"/>
      <x:c r="Q58" s="496" t="str">
        <x:v>每个 960×600 画面最多遮 20% 核心行动区</x:v>
      </x:c>
    </x:row>
    <x:row r="59" ht="62" customHeight="1">
      <x:c r="A59" s="495" t="str">
        <x:v>CAR-02-ENV-04</x:v>
      </x:c>
      <x:c r="B59" s="495" t="str">
        <x:v>第二节车厢｜AI 灾变 / 伪未来</x:v>
      </x:c>
      <x:c r="C59" s="495" t="str">
        <x:v>环境动画</x:v>
      </x:c>
      <x:c r="D59" s="496" t="str">
        <x:v>AI 灾变氛围循环包</x:v>
      </x:c>
      <x:c r="E59" s="496" t="str">
        <x:v>让静态全景持续有生命和时间感</x:v>
      </x:c>
      <x:c r="F59" s="496" t="str">
        <x:v>无人机巡航灯、远处火点、扫描线扫过玻璃、屏幕数据滚动</x:v>
      </x:c>
      <x:c r="G59" s="496" t="str">
        <x:v>近 / 中 / 远三层循环</x:v>
      </x:c>
      <x:c r="H59" s="496" t="str">
        <x:v>2–8 秒错峰循环</x:v>
      </x:c>
      <x:c r="I59" s="496" t="str">
        <x:v>Particle atlas / loop strips</x:v>
      </x:c>
      <x:c r="J59" s="496" t="str">
        <x:v>全局氛围</x:v>
      </x:c>
      <x:c r="K59" s="497" t="str">
        <x:v>P1</x:v>
      </x:c>
      <x:c r="L59" s="497" t="str">
        <x:v>M4 抛光</x:v>
      </x:c>
      <x:c r="M59" s="497" t="str">
        <x:v>待制作</x:v>
      </x:c>
      <x:c r="N59" s="498" t="n">
        <x:v>6</x:v>
      </x:c>
      <x:c r="O59" s="499" t="n">
        <x:v>3.5</x:v>
      </x:c>
      <x:c r="P59" s="496" t="str"/>
      <x:c r="Q59" s="496" t="str">
        <x:v>至少一个室内循环 + 一个窗外循环</x:v>
      </x:c>
    </x:row>
    <x:row r="60" ht="62" customHeight="1">
      <x:c r="A60" s="495" t="str">
        <x:v>CAR-02-LGT-01</x:v>
      </x:c>
      <x:c r="B60" s="495" t="str">
        <x:v>第二节车厢｜AI 灾变 / 伪未来</x:v>
      </x:c>
      <x:c r="C60" s="495" t="str">
        <x:v>灯光 / 调色</x:v>
      </x:c>
      <x:c r="D60" s="496" t="str">
        <x:v>AI 灾变灯光与完成态</x:v>
      </x:c>
      <x:c r="E60" s="496" t="str">
        <x:v>把交互焦点、危险和叙事高潮分开读清</x:v>
      </x:c>
      <x:c r="F60" s="496" t="str">
        <x:v>主色脚本：#101820 / #334959 / #7FE0D4 / #F05B61；完成后画面必须发生可见的光线变化</x:v>
      </x:c>
      <x:c r="G60" s="496" t="str">
        <x:v>探索 / 危险 / 完成</x:v>
      </x:c>
      <x:c r="H60" s="496" t="str">
        <x:v>灯光渐变 1–3 秒</x:v>
      </x:c>
      <x:c r="I60" s="496" t="str">
        <x:v>Overlay / LUT 参考</x:v>
      </x:c>
      <x:c r="J60" s="496" t="str">
        <x:v>关卡 2</x:v>
      </x:c>
      <x:c r="K60" s="497" t="str">
        <x:v>P0</x:v>
      </x:c>
      <x:c r="L60" s="497" t="str">
        <x:v>M1 垂直切片</x:v>
      </x:c>
      <x:c r="M60" s="497" t="str">
        <x:v>待制作</x:v>
      </x:c>
      <x:c r="N60" s="498" t="n">
        <x:v>3</x:v>
      </x:c>
      <x:c r="O60" s="499" t="n">
        <x:v>1.5</x:v>
      </x:c>
      <x:c r="P60" s="496" t="str"/>
      <x:c r="Q60" s="496" t="str">
        <x:v>主角与交互物对比度在三种状态均合格</x:v>
      </x:c>
    </x:row>
    <x:row r="61" ht="62" customHeight="1">
      <x:c r="A61" s="495" t="str">
        <x:v>CAR-02-PRP-01</x:v>
      </x:c>
      <x:c r="B61" s="495" t="str">
        <x:v>第二节车厢｜AI 灾变 / 伪未来</x:v>
      </x:c>
      <x:c r="C61" s="495" t="str">
        <x:v>核心机制道具</x:v>
      </x:c>
      <x:c r="D61" s="496" t="str">
        <x:v>AI 灾变主机关套装</x:v>
      </x:c>
      <x:c r="E61" s="496" t="str">
        <x:v>支撑核心机制：接管维修机器人并用视线遮挡绕过扫描</x:v>
      </x:c>
      <x:c r="F61" s="496" t="str">
        <x:v>可接管维修球、命令终端、遮光板、门禁节点</x:v>
      </x:c>
      <x:c r="G61" s="496" t="str">
        <x:v>敌对 / 干扰 / 已接管 / 搭桥 / 失效</x:v>
      </x:c>
      <x:c r="H61" s="496" t="str">
        <x:v>操作、反馈、完成动作</x:v>
      </x:c>
      <x:c r="I61" s="496" t="str">
        <x:v>Sprite atlas + 分层静态件</x:v>
      </x:c>
      <x:c r="J61" s="496" t="str">
        <x:v>关卡 2</x:v>
      </x:c>
      <x:c r="K61" s="497" t="str">
        <x:v>P0</x:v>
      </x:c>
      <x:c r="L61" s="497" t="str">
        <x:v>M1 垂直切片</x:v>
      </x:c>
      <x:c r="M61" s="497" t="str">
        <x:v>待制作</x:v>
      </x:c>
      <x:c r="N61" s="498" t="n">
        <x:v>8</x:v>
      </x:c>
      <x:c r="O61" s="499" t="n">
        <x:v>5.5</x:v>
      </x:c>
      <x:c r="P61" s="496" t="str"/>
      <x:c r="Q61" s="496" t="str">
        <x:v>每个状态不靠文字也能分辨；手部接触点明确</x:v>
      </x:c>
    </x:row>
    <x:row r="62" ht="62" customHeight="1">
      <x:c r="A62" s="495" t="str">
        <x:v>CAR-02-PRP-02</x:v>
      </x:c>
      <x:c r="B62" s="495" t="str">
        <x:v>第二节车厢｜AI 灾变 / 伪未来</x:v>
      </x:c>
      <x:c r="C62" s="495" t="str">
        <x:v>机制反馈</x:v>
      </x:c>
      <x:c r="D62" s="496" t="str">
        <x:v>AI 灾变线路 / 路径 / 因果可视化</x:v>
      </x:c>
      <x:c r="E62" s="496" t="str">
        <x:v>让玩家能读懂自己改变了什么</x:v>
      </x:c>
      <x:c r="F62" s="496" t="str">
        <x:v>用关卡材质呈现输入→传输→结果；围绕“接管维修机器人并用视线遮挡绕过扫描”制作视觉链</x:v>
      </x:c>
      <x:c r="G62" s="496" t="str">
        <x:v>未连接 / 部分 / 错误 / 成功</x:v>
      </x:c>
      <x:c r="H62" s="496" t="str">
        <x:v>沿路径传播</x:v>
      </x:c>
      <x:c r="I62" s="496" t="str">
        <x:v>Overlay / decal / VFX atlas</x:v>
      </x:c>
      <x:c r="J62" s="496" t="str">
        <x:v>关卡 2</x:v>
      </x:c>
      <x:c r="K62" s="497" t="str">
        <x:v>P0</x:v>
      </x:c>
      <x:c r="L62" s="497" t="str">
        <x:v>M1 垂直切片</x:v>
      </x:c>
      <x:c r="M62" s="497" t="str">
        <x:v>待制作</x:v>
      </x:c>
      <x:c r="N62" s="498" t="n">
        <x:v>4</x:v>
      </x:c>
      <x:c r="O62" s="499" t="n">
        <x:v>3</x:v>
      </x:c>
      <x:c r="P62" s="496" t="str"/>
      <x:c r="Q62" s="496" t="str">
        <x:v>反馈必须在一屏内或用清晰方向引导</x:v>
      </x:c>
    </x:row>
    <x:row r="63" ht="62" customHeight="1">
      <x:c r="A63" s="495" t="str">
        <x:v>CAR-02-CHR-01</x:v>
      </x:c>
      <x:c r="B63" s="495" t="str">
        <x:v>第二节车厢｜AI 灾变 / 伪未来</x:v>
      </x:c>
      <x:c r="C63" s="495" t="str">
        <x:v>角色 / NPC</x:v>
      </x:c>
      <x:c r="D63" s="496" t="str">
        <x:v>AI 灾变关键角色包</x:v>
      </x:c>
      <x:c r="E63" s="496" t="str">
        <x:v>让机制通过关系和选择产生意义</x:v>
      </x:c>
      <x:c r="F63" s="496" t="str">
        <x:v>受困工程师 + 半损坏维修机器人伙伴</x:v>
      </x:c>
      <x:c r="G63" s="496" t="str">
        <x:v>中性 / 请求 / 受威胁 / 获救</x:v>
      </x:c>
      <x:c r="H63" s="496" t="str">
        <x:v>idle、反应、合作、离场</x:v>
      </x:c>
      <x:c r="I63" s="496" t="str">
        <x:v>模块角色 atlas + portrait</x:v>
      </x:c>
      <x:c r="J63" s="496" t="str">
        <x:v>关卡 2</x:v>
      </x:c>
      <x:c r="K63" s="497" t="str">
        <x:v>P0</x:v>
      </x:c>
      <x:c r="L63" s="497" t="str">
        <x:v>M1 垂直切片</x:v>
      </x:c>
      <x:c r="M63" s="497" t="str">
        <x:v>待制作</x:v>
      </x:c>
      <x:c r="N63" s="498" t="n">
        <x:v>4</x:v>
      </x:c>
      <x:c r="O63" s="499" t="n">
        <x:v>5</x:v>
      </x:c>
      <x:c r="P63" s="496" t="str"/>
      <x:c r="Q63" s="496" t="str">
        <x:v>至少一名角色会因玩家行为改变姿态/位置</x:v>
      </x:c>
    </x:row>
    <x:row r="64" ht="62" customHeight="1">
      <x:c r="A64" s="495" t="str">
        <x:v>CAR-02-HAZ-01</x:v>
      </x:c>
      <x:c r="B64" s="495" t="str">
        <x:v>第二节车厢｜AI 灾变 / 伪未来</x:v>
      </x:c>
      <x:c r="C64" s="495" t="str">
        <x:v>危险与导航</x:v>
      </x:c>
      <x:c r="D64" s="496" t="str">
        <x:v>AI 灾变非战斗压力套装</x:v>
      </x:c>
      <x:c r="E64" s="496" t="str">
        <x:v>提供挑战但保留多种解法</x:v>
      </x:c>
      <x:c r="F64" s="496" t="str">
        <x:v>扫描锥、自动门禁、周期电弧；均可潜行或控制，不强制战斗</x:v>
      </x:c>
      <x:c r="G64" s="496" t="str">
        <x:v>预警 / 激活 / 可绕过 / 已解除</x:v>
      </x:c>
      <x:c r="H64" s="496" t="str">
        <x:v>预警循环 + 解除反馈</x:v>
      </x:c>
      <x:c r="I64" s="496" t="str">
        <x:v>Props + VFX</x:v>
      </x:c>
      <x:c r="J64" s="496" t="str">
        <x:v>关卡 2</x:v>
      </x:c>
      <x:c r="K64" s="497" t="str">
        <x:v>P1</x:v>
      </x:c>
      <x:c r="L64" s="497" t="str">
        <x:v>M3 全内容</x:v>
      </x:c>
      <x:c r="M64" s="497" t="str">
        <x:v>待制作</x:v>
      </x:c>
      <x:c r="N64" s="498" t="n">
        <x:v>5</x:v>
      </x:c>
      <x:c r="O64" s="499" t="n">
        <x:v>3.5</x:v>
      </x:c>
      <x:c r="P64" s="496" t="str"/>
      <x:c r="Q64" s="496" t="str">
        <x:v>危险出现前至少 0.5 秒可读预警</x:v>
      </x:c>
    </x:row>
    <x:row r="65" ht="62" customHeight="1">
      <x:c r="A65" s="495" t="str">
        <x:v>CAR-02-NAR-01</x:v>
      </x:c>
      <x:c r="B65" s="495" t="str">
        <x:v>第二节车厢｜AI 灾变 / 伪未来</x:v>
      </x:c>
      <x:c r="C65" s="495" t="str">
        <x:v>环境叙事</x:v>
      </x:c>
      <x:c r="D65" s="496" t="str">
        <x:v>AI 灾变真相碎片</x:v>
      </x:c>
      <x:c r="E65" s="496" t="str">
        <x:v>把探索奖励连到 AI 控制与主角身份</x:v>
      </x:c>
      <x:c r="F65" s="496" t="str">
        <x:v>灾难新闻画面里出现今天的真实日期</x:v>
      </x:c>
      <x:c r="G65" s="496" t="str">
        <x:v>未发现 / 显影 / 收录</x:v>
      </x:c>
      <x:c r="H65" s="496" t="str">
        <x:v>拾取/拼合 1 秒</x:v>
      </x:c>
      <x:c r="I65" s="496" t="str">
        <x:v>PNG + UI card</x:v>
      </x:c>
      <x:c r="J65" s="496" t="str">
        <x:v>真相碎片</x:v>
      </x:c>
      <x:c r="K65" s="497" t="str">
        <x:v>P1</x:v>
      </x:c>
      <x:c r="L65" s="497" t="str">
        <x:v>M3 全内容</x:v>
      </x:c>
      <x:c r="M65" s="497" t="str">
        <x:v>待制作</x:v>
      </x:c>
      <x:c r="N65" s="498" t="n">
        <x:v>2</x:v>
      </x:c>
      <x:c r="O65" s="499" t="n">
        <x:v>1.5</x:v>
      </x:c>
      <x:c r="P65" s="496" t="str"/>
      <x:c r="Q65" s="496" t="str">
        <x:v>不能与通关必需信息混淆</x:v>
      </x:c>
    </x:row>
    <x:row r="66" ht="62" customHeight="1">
      <x:c r="A66" s="495" t="str">
        <x:v>CAR-02-TX-01</x:v>
      </x:c>
      <x:c r="B66" s="495" t="str">
        <x:v>第二节车厢｜AI 灾变 / 伪未来</x:v>
      </x:c>
      <x:c r="C66" s="495" t="str">
        <x:v>转场</x:v>
      </x:c>
      <x:c r="D66" s="496" t="str">
        <x:v>AI 灾变离场转场</x:v>
      </x:c>
      <x:c r="E66" s="496" t="str">
        <x:v>将本关视觉语言自然变成下一关</x:v>
      </x:c>
      <x:c r="F66" s="496" t="str">
        <x:v>警报红逐渐被城市广告的暖色覆盖，故障屏变成商场屏</x:v>
      </x:c>
      <x:c r="G66" s="496" t="str">
        <x:v>正常 / 低稳定度变体</x:v>
      </x:c>
      <x:c r="H66" s="496" t="str">
        <x:v>2–4 秒</x:v>
      </x:c>
      <x:c r="I66" s="496" t="str">
        <x:v>Overlay + props states</x:v>
      </x:c>
      <x:c r="J66" s="496" t="str">
        <x:v>转场</x:v>
      </x:c>
      <x:c r="K66" s="497" t="str">
        <x:v>P1</x:v>
      </x:c>
      <x:c r="L66" s="497" t="str">
        <x:v>M3 全内容</x:v>
      </x:c>
      <x:c r="M66" s="497" t="str">
        <x:v>待制作</x:v>
      </x:c>
      <x:c r="N66" s="498" t="n">
        <x:v>2</x:v>
      </x:c>
      <x:c r="O66" s="499" t="n">
        <x:v>2</x:v>
      </x:c>
      <x:c r="P66" s="496" t="str"/>
      <x:c r="Q66" s="496" t="str">
        <x:v>加载隐藏在门板、黑场或全屏材质蔓延中</x:v>
      </x:c>
    </x:row>
    <x:row r="67" ht="62" customHeight="1">
      <x:c r="A67" s="495" t="str">
        <x:v>CAR-02-UI-01</x:v>
      </x:c>
      <x:c r="B67" s="495" t="str">
        <x:v>第二节车厢｜AI 灾变 / 伪未来</x:v>
      </x:c>
      <x:c r="C67" s="495" t="str">
        <x:v>UI / 图标</x:v>
      </x:c>
      <x:c r="D67" s="496" t="str">
        <x:v>AI 灾变机制图标与教程卡</x:v>
      </x:c>
      <x:c r="E67" s="496" t="str">
        <x:v>让新机制在 10–20 秒内可学会</x:v>
      </x:c>
      <x:c r="F67" s="496" t="str">
        <x:v>为“接管维修机器人并用视线遮挡绕过扫描”制作动作图标、状态图例和一张无文字示意卡</x:v>
      </x:c>
      <x:c r="G67" s="496" t="str">
        <x:v>键鼠 / 手柄 / 完成</x:v>
      </x:c>
      <x:c r="H67" s="496" t="str">
        <x:v>出现、确认、淡出</x:v>
      </x:c>
      <x:c r="I67" s="496" t="str">
        <x:v>SVG + 2× PNG</x:v>
      </x:c>
      <x:c r="J67" s="496" t="str">
        <x:v>UI 全局</x:v>
      </x:c>
      <x:c r="K67" s="497" t="str">
        <x:v>P0</x:v>
      </x:c>
      <x:c r="L67" s="497" t="str">
        <x:v>M1 垂直切片</x:v>
      </x:c>
      <x:c r="M67" s="497" t="str">
        <x:v>待制作</x:v>
      </x:c>
      <x:c r="N67" s="498" t="n">
        <x:v>6</x:v>
      </x:c>
      <x:c r="O67" s="499" t="n">
        <x:v>2</x:v>
      </x:c>
      <x:c r="P67" s="496" t="str"/>
      <x:c r="Q67" s="496" t="str">
        <x:v>不依赖英文；课堂试玩可独立理解</x:v>
      </x:c>
    </x:row>
    <x:row r="68" ht="62" customHeight="1">
      <x:c r="A68" s="495" t="str">
        <x:v>CAR-02-SET-01</x:v>
      </x:c>
      <x:c r="B68" s="495" t="str">
        <x:v>第二节车厢｜AI 灾变 / 伪未来</x:v>
      </x:c>
      <x:c r="C68" s="495" t="str">
        <x:v>高潮演出</x:v>
      </x:c>
      <x:c r="D68" s="496" t="str">
        <x:v>AI 灾变关卡完成场景</x:v>
      </x:c>
      <x:c r="E68" s="496" t="str">
        <x:v>让解谜高潮拥有与战斗同等的视觉份量</x:v>
      </x:c>
      <x:c r="F68" s="496" t="str">
        <x:v>机器人在玻璃外爬行替玩家按下隔离开关，形成单人异步合作</x:v>
      </x:c>
      <x:c r="G68" s="496" t="str">
        <x:v>进入 / 进行 / 完成 / 失败恢复</x:v>
      </x:c>
      <x:c r="H68" s="496" t="str">
        <x:v>3–8 秒分镜演出</x:v>
      </x:c>
      <x:c r="I68" s="496" t="str">
        <x:v>分层场景 + VFX</x:v>
      </x:c>
      <x:c r="J68" s="496" t="str">
        <x:v>关卡 2</x:v>
      </x:c>
      <x:c r="K68" s="497" t="str">
        <x:v>P1</x:v>
      </x:c>
      <x:c r="L68" s="497" t="str">
        <x:v>M4 抛光</x:v>
      </x:c>
      <x:c r="M68" s="497" t="str">
        <x:v>待制作</x:v>
      </x:c>
      <x:c r="N68" s="498" t="n">
        <x:v>1</x:v>
      </x:c>
      <x:c r="O68" s="499" t="n">
        <x:v>4</x:v>
      </x:c>
      <x:c r="P68" s="496" t="str"/>
      <x:c r="Q68" s="496" t="str">
        <x:v>镜头不夺走玩家控制超过必要时长</x:v>
      </x:c>
    </x:row>
    <x:row r="69" ht="62" customHeight="1">
      <x:c r="A69" s="495" t="str">
        <x:v>CAR-03-ENV-01</x:v>
      </x:c>
      <x:c r="B69" s="495" t="str">
        <x:v>第三节车厢｜当代城市 / 能量分配</x:v>
      </x:c>
      <x:c r="C69" s="495" t="str">
        <x:v>环境背景</x:v>
      </x:c>
      <x:c r="D69" s="496" t="str">
        <x:v>当代城市窗外全景</x:v>
      </x:c>
      <x:c r="E69" s="496" t="str">
        <x:v>所谓“正常生活”也建立在看不见的取舍与服从之上。</x:v>
      </x:c>
      <x:c r="F69" s="496" t="str">
        <x:v>现有 11408×941 左右全景；做构图清理、色值统一和 AI 母题检查。主题：消费界面中伪装成品牌标志的 AI 环</x:v>
      </x:c>
      <x:c r="G69" s="496" t="str">
        <x:v>源图 / 运行时三切片</x:v>
      </x:c>
      <x:c r="H69" s="496" t="str">
        <x:v>视差移动</x:v>
      </x:c>
      <x:c r="I69" s="496" t="str">
        <x:v>现有 PNG 源图 + 自动生成 JPG chunks</x:v>
      </x:c>
      <x:c r="J69" s="496" t="str">
        <x:v>关卡 3</x:v>
      </x:c>
      <x:c r="K69" s="497" t="str">
        <x:v>P0</x:v>
      </x:c>
      <x:c r="L69" s="497" t="str">
        <x:v>M1 垂直切片</x:v>
      </x:c>
      <x:c r="M69" s="497" t="str">
        <x:v>已集成</x:v>
      </x:c>
      <x:c r="N69" s="498" t="n">
        <x:v>1</x:v>
      </x:c>
      <x:c r="O69" s="499" t="n">
        <x:v>0.5</x:v>
      </x:c>
      <x:c r="P69" s="496" t="str"/>
      <x:c r="Q69" s="496" t="str">
        <x:v>现有文件：world_03_present_city_panorama_fullres.png；需最终美术审核</x:v>
      </x:c>
    </x:row>
    <x:row r="70" ht="62" customHeight="1">
      <x:c r="A70" s="495" t="str">
        <x:v>CAR-03-ENV-02</x:v>
      </x:c>
      <x:c r="B70" s="495" t="str">
        <x:v>第三节车厢｜当代城市 / 能量分配</x:v>
      </x:c>
      <x:c r="C70" s="495" t="str">
        <x:v>车厢皮肤</x:v>
      </x:c>
      <x:c r="D70" s="496" t="str">
        <x:v>当代城市车厢内饰覆盖层</x:v>
      </x:c>
      <x:c r="E70" s="496" t="str">
        <x:v>让玩家明确处于同一列车但时代材质被重写</x:v>
      </x:c>
      <x:c r="F70" s="496" t="str">
        <x:v>干净商业地铁、广告屏、充电口、自动售卖机；视觉上最接近日常</x:v>
      </x:c>
      <x:c r="G70" s="496" t="str">
        <x:v>完好 / 受损 / 解谜完成</x:v>
      </x:c>
      <x:c r="H70" s="496" t="str">
        <x:v>局部状态切换</x:v>
      </x:c>
      <x:c r="I70" s="496" t="str">
        <x:v>分层 PNG/WebP，匹配统一车厢骨架</x:v>
      </x:c>
      <x:c r="J70" s="496" t="str">
        <x:v>车厢骨架</x:v>
      </x:c>
      <x:c r="K70" s="497" t="str">
        <x:v>P0</x:v>
      </x:c>
      <x:c r="L70" s="497" t="str">
        <x:v>M3 全内容</x:v>
      </x:c>
      <x:c r="M70" s="497" t="str">
        <x:v>待制作</x:v>
      </x:c>
      <x:c r="N70" s="498" t="n">
        <x:v>3</x:v>
      </x:c>
      <x:c r="O70" s="499" t="n">
        <x:v>3.5</x:v>
      </x:c>
      <x:c r="P70" s="496" t="str"/>
      <x:c r="Q70" s="496" t="str">
        <x:v>必须保留门窗锚点，不能每关改变碰撞布局</x:v>
      </x:c>
    </x:row>
    <x:row r="71" ht="62" customHeight="1">
      <x:c r="A71" s="495" t="str">
        <x:v>CAR-03-ENV-03</x:v>
      </x:c>
      <x:c r="B71" s="495" t="str">
        <x:v>第三节车厢｜当代城市 / 能量分配</x:v>
      </x:c>
      <x:c r="C71" s="495" t="str">
        <x:v>前景层</x:v>
      </x:c>
      <x:c r="D71" s="496" t="str">
        <x:v>当代城市近景框景套装</x:v>
      </x:c>
      <x:c r="E71" s="496" t="str">
        <x:v>建立前、中、后景，避免只剩一张横向背景</x:v>
      </x:c>
      <x:c r="F71" s="496" t="str">
        <x:v>购物袋、共享伞、咖啡杯、报纸与近景广告灯箱</x:v>
      </x:c>
      <x:c r="G71" s="496" t="str">
        <x:v>左 / 右 / 中段，至少 3 个构图</x:v>
      </x:c>
      <x:c r="H71" s="496" t="str">
        <x:v>靠近玩家淡出</x:v>
      </x:c>
      <x:c r="I71" s="496" t="str">
        <x:v>透明 PNG/WebP，2×</x:v>
      </x:c>
      <x:c r="J71" s="496" t="str">
        <x:v>前景层</x:v>
      </x:c>
      <x:c r="K71" s="497" t="str">
        <x:v>P1</x:v>
      </x:c>
      <x:c r="L71" s="497" t="str">
        <x:v>M3 全内容</x:v>
      </x:c>
      <x:c r="M71" s="497" t="str">
        <x:v>待制作</x:v>
      </x:c>
      <x:c r="N71" s="498" t="n">
        <x:v>6</x:v>
      </x:c>
      <x:c r="O71" s="499" t="n">
        <x:v>3</x:v>
      </x:c>
      <x:c r="P71" s="496" t="str"/>
      <x:c r="Q71" s="496" t="str">
        <x:v>每个 960×600 画面最多遮 20% 核心行动区</x:v>
      </x:c>
    </x:row>
    <x:row r="72" ht="62" customHeight="1">
      <x:c r="A72" s="495" t="str">
        <x:v>CAR-03-ENV-04</x:v>
      </x:c>
      <x:c r="B72" s="495" t="str">
        <x:v>第三节车厢｜当代城市 / 能量分配</x:v>
      </x:c>
      <x:c r="C72" s="495" t="str">
        <x:v>环境动画</x:v>
      </x:c>
      <x:c r="D72" s="496" t="str">
        <x:v>当代城市氛围循环包</x:v>
      </x:c>
      <x:c r="E72" s="496" t="str">
        <x:v>让静态全景持续有生命和时间感</x:v>
      </x:c>
      <x:c r="F72" s="496" t="str">
        <x:v>城市霓虹滑过玻璃、人群倒影、手机屏光、空调风带动纸张</x:v>
      </x:c>
      <x:c r="G72" s="496" t="str">
        <x:v>近 / 中 / 远三层循环</x:v>
      </x:c>
      <x:c r="H72" s="496" t="str">
        <x:v>2–8 秒错峰循环</x:v>
      </x:c>
      <x:c r="I72" s="496" t="str">
        <x:v>Particle atlas / loop strips</x:v>
      </x:c>
      <x:c r="J72" s="496" t="str">
        <x:v>全局氛围</x:v>
      </x:c>
      <x:c r="K72" s="497" t="str">
        <x:v>P1</x:v>
      </x:c>
      <x:c r="L72" s="497" t="str">
        <x:v>M4 抛光</x:v>
      </x:c>
      <x:c r="M72" s="497" t="str">
        <x:v>待制作</x:v>
      </x:c>
      <x:c r="N72" s="498" t="n">
        <x:v>6</x:v>
      </x:c>
      <x:c r="O72" s="499" t="n">
        <x:v>3.5</x:v>
      </x:c>
      <x:c r="P72" s="496" t="str"/>
      <x:c r="Q72" s="496" t="str">
        <x:v>至少一个室内循环 + 一个窗外循环</x:v>
      </x:c>
    </x:row>
    <x:row r="73" ht="62" customHeight="1">
      <x:c r="A73" s="495" t="str">
        <x:v>CAR-03-LGT-01</x:v>
      </x:c>
      <x:c r="B73" s="495" t="str">
        <x:v>第三节车厢｜当代城市 / 能量分配</x:v>
      </x:c>
      <x:c r="C73" s="495" t="str">
        <x:v>灯光 / 调色</x:v>
      </x:c>
      <x:c r="D73" s="496" t="str">
        <x:v>当代城市灯光与完成态</x:v>
      </x:c>
      <x:c r="E73" s="496" t="str">
        <x:v>把交互焦点、危险和叙事高潮分开读清</x:v>
      </x:c>
      <x:c r="F73" s="496" t="str">
        <x:v>主色脚本：#25364A / #6F8395 / #FFD27A / #FF7A68；完成后画面必须发生可见的光线变化</x:v>
      </x:c>
      <x:c r="G73" s="496" t="str">
        <x:v>探索 / 危险 / 完成</x:v>
      </x:c>
      <x:c r="H73" s="496" t="str">
        <x:v>灯光渐变 1–3 秒</x:v>
      </x:c>
      <x:c r="I73" s="496" t="str">
        <x:v>Overlay / LUT 参考</x:v>
      </x:c>
      <x:c r="J73" s="496" t="str">
        <x:v>关卡 3</x:v>
      </x:c>
      <x:c r="K73" s="497" t="str">
        <x:v>P0</x:v>
      </x:c>
      <x:c r="L73" s="497" t="str">
        <x:v>M3 全内容</x:v>
      </x:c>
      <x:c r="M73" s="497" t="str">
        <x:v>待制作</x:v>
      </x:c>
      <x:c r="N73" s="498" t="n">
        <x:v>3</x:v>
      </x:c>
      <x:c r="O73" s="499" t="n">
        <x:v>1.5</x:v>
      </x:c>
      <x:c r="P73" s="496" t="str"/>
      <x:c r="Q73" s="496" t="str">
        <x:v>主角与交互物对比度在三种状态均合格</x:v>
      </x:c>
    </x:row>
    <x:row r="74" ht="62" customHeight="1">
      <x:c r="A74" s="495" t="str">
        <x:v>CAR-03-PRP-01</x:v>
      </x:c>
      <x:c r="B74" s="495" t="str">
        <x:v>第三节车厢｜当代城市 / 能量分配</x:v>
      </x:c>
      <x:c r="C74" s="495" t="str">
        <x:v>核心机制道具</x:v>
      </x:c>
      <x:c r="D74" s="496" t="str">
        <x:v>当代城市主机关套装</x:v>
      </x:c>
      <x:c r="E74" s="496" t="str">
        <x:v>支撑核心机制：有限电力在照明、通风、门与乘客设备间分配</x:v>
      </x:c>
      <x:c r="F74" s="496" t="str">
        <x:v>电力配额台、四路开关、便携电池、乘客呼吸机、售货机</x:v>
      </x:c>
      <x:c r="G74" s="496" t="str">
        <x:v>0–100% 配电 / 过载 / 节能 / 紧急</x:v>
      </x:c>
      <x:c r="H74" s="496" t="str">
        <x:v>操作、反馈、完成动作</x:v>
      </x:c>
      <x:c r="I74" s="496" t="str">
        <x:v>Sprite atlas + 分层静态件</x:v>
      </x:c>
      <x:c r="J74" s="496" t="str">
        <x:v>关卡 3</x:v>
      </x:c>
      <x:c r="K74" s="497" t="str">
        <x:v>P0</x:v>
      </x:c>
      <x:c r="L74" s="497" t="str">
        <x:v>M3 全内容</x:v>
      </x:c>
      <x:c r="M74" s="497" t="str">
        <x:v>待制作</x:v>
      </x:c>
      <x:c r="N74" s="498" t="n">
        <x:v>8</x:v>
      </x:c>
      <x:c r="O74" s="499" t="n">
        <x:v>5.5</x:v>
      </x:c>
      <x:c r="P74" s="496" t="str"/>
      <x:c r="Q74" s="496" t="str">
        <x:v>每个状态不靠文字也能分辨；手部接触点明确</x:v>
      </x:c>
    </x:row>
    <x:row r="75" ht="62" customHeight="1">
      <x:c r="A75" s="495" t="str">
        <x:v>CAR-03-PRP-02</x:v>
      </x:c>
      <x:c r="B75" s="495" t="str">
        <x:v>第三节车厢｜当代城市 / 能量分配</x:v>
      </x:c>
      <x:c r="C75" s="495" t="str">
        <x:v>机制反馈</x:v>
      </x:c>
      <x:c r="D75" s="496" t="str">
        <x:v>当代城市线路 / 路径 / 因果可视化</x:v>
      </x:c>
      <x:c r="E75" s="496" t="str">
        <x:v>让玩家能读懂自己改变了什么</x:v>
      </x:c>
      <x:c r="F75" s="496" t="str">
        <x:v>用关卡材质呈现输入→传输→结果；围绕“有限电力在照明、通风、门与乘客设备间分配”制作视觉链</x:v>
      </x:c>
      <x:c r="G75" s="496" t="str">
        <x:v>未连接 / 部分 / 错误 / 成功</x:v>
      </x:c>
      <x:c r="H75" s="496" t="str">
        <x:v>沿路径传播</x:v>
      </x:c>
      <x:c r="I75" s="496" t="str">
        <x:v>Overlay / decal / VFX atlas</x:v>
      </x:c>
      <x:c r="J75" s="496" t="str">
        <x:v>关卡 3</x:v>
      </x:c>
      <x:c r="K75" s="497" t="str">
        <x:v>P0</x:v>
      </x:c>
      <x:c r="L75" s="497" t="str">
        <x:v>M3 全内容</x:v>
      </x:c>
      <x:c r="M75" s="497" t="str">
        <x:v>待制作</x:v>
      </x:c>
      <x:c r="N75" s="498" t="n">
        <x:v>4</x:v>
      </x:c>
      <x:c r="O75" s="499" t="n">
        <x:v>3</x:v>
      </x:c>
      <x:c r="P75" s="496" t="str"/>
      <x:c r="Q75" s="496" t="str">
        <x:v>反馈必须在一屏内或用清晰方向引导</x:v>
      </x:c>
    </x:row>
    <x:row r="76" ht="62" customHeight="1">
      <x:c r="A76" s="495" t="str">
        <x:v>CAR-03-CHR-01</x:v>
      </x:c>
      <x:c r="B76" s="495" t="str">
        <x:v>第三节车厢｜当代城市 / 能量分配</x:v>
      </x:c>
      <x:c r="C76" s="495" t="str">
        <x:v>角色 / NPC</x:v>
      </x:c>
      <x:c r="D76" s="496" t="str">
        <x:v>当代城市关键角色包</x:v>
      </x:c>
      <x:c r="E76" s="496" t="str">
        <x:v>让机制通过关系和选择产生意义</x:v>
      </x:c>
      <x:c r="F76" s="496" t="str">
        <x:v>需要充电的乘客、依赖设备的老人、只关心广告屏的通勤者</x:v>
      </x:c>
      <x:c r="G76" s="496" t="str">
        <x:v>中性 / 请求 / 受威胁 / 获救</x:v>
      </x:c>
      <x:c r="H76" s="496" t="str">
        <x:v>idle、反应、合作、离场</x:v>
      </x:c>
      <x:c r="I76" s="496" t="str">
        <x:v>模块角色 atlas + portrait</x:v>
      </x:c>
      <x:c r="J76" s="496" t="str">
        <x:v>关卡 3</x:v>
      </x:c>
      <x:c r="K76" s="497" t="str">
        <x:v>P0</x:v>
      </x:c>
      <x:c r="L76" s="497" t="str">
        <x:v>M3 全内容</x:v>
      </x:c>
      <x:c r="M76" s="497" t="str">
        <x:v>待制作</x:v>
      </x:c>
      <x:c r="N76" s="498" t="n">
        <x:v>4</x:v>
      </x:c>
      <x:c r="O76" s="499" t="n">
        <x:v>5</x:v>
      </x:c>
      <x:c r="P76" s="496" t="str"/>
      <x:c r="Q76" s="496" t="str">
        <x:v>至少一名角色会因玩家行为改变姿态/位置</x:v>
      </x:c>
    </x:row>
    <x:row r="77" ht="62" customHeight="1">
      <x:c r="A77" s="495" t="str">
        <x:v>CAR-03-HAZ-01</x:v>
      </x:c>
      <x:c r="B77" s="495" t="str">
        <x:v>第三节车厢｜当代城市 / 能量分配</x:v>
      </x:c>
      <x:c r="C77" s="495" t="str">
        <x:v>危险与导航</x:v>
      </x:c>
      <x:c r="D77" s="496" t="str">
        <x:v>当代城市非战斗压力套装</x:v>
      </x:c>
      <x:c r="E77" s="496" t="str">
        <x:v>提供挑战但保留多种解法</x:v>
      </x:c>
      <x:c r="F77" s="496" t="str">
        <x:v>闷热/黑暗/门锁三种压力，不使用敌人</x:v>
      </x:c>
      <x:c r="G77" s="496" t="str">
        <x:v>预警 / 激活 / 可绕过 / 已解除</x:v>
      </x:c>
      <x:c r="H77" s="496" t="str">
        <x:v>预警循环 + 解除反馈</x:v>
      </x:c>
      <x:c r="I77" s="496" t="str">
        <x:v>Props + VFX</x:v>
      </x:c>
      <x:c r="J77" s="496" t="str">
        <x:v>关卡 3</x:v>
      </x:c>
      <x:c r="K77" s="497" t="str">
        <x:v>P1</x:v>
      </x:c>
      <x:c r="L77" s="497" t="str">
        <x:v>M3 全内容</x:v>
      </x:c>
      <x:c r="M77" s="497" t="str">
        <x:v>待制作</x:v>
      </x:c>
      <x:c r="N77" s="498" t="n">
        <x:v>5</x:v>
      </x:c>
      <x:c r="O77" s="499" t="n">
        <x:v>3.5</x:v>
      </x:c>
      <x:c r="P77" s="496" t="str"/>
      <x:c r="Q77" s="496" t="str">
        <x:v>危险出现前至少 0.5 秒可读预警</x:v>
      </x:c>
    </x:row>
    <x:row r="78" ht="62" customHeight="1">
      <x:c r="A78" s="495" t="str">
        <x:v>CAR-03-NAR-01</x:v>
      </x:c>
      <x:c r="B78" s="495" t="str">
        <x:v>第三节车厢｜当代城市 / 能量分配</x:v>
      </x:c>
      <x:c r="C78" s="495" t="str">
        <x:v>环境叙事</x:v>
      </x:c>
      <x:c r="D78" s="496" t="str">
        <x:v>当代城市真相碎片</x:v>
      </x:c>
      <x:c r="E78" s="496" t="str">
        <x:v>把探索奖励连到 AI 控制与主角身份</x:v>
      </x:c>
      <x:c r="F78" s="496" t="str">
        <x:v>消费积分记录其实是 AI 服从度评分</x:v>
      </x:c>
      <x:c r="G78" s="496" t="str">
        <x:v>未发现 / 显影 / 收录</x:v>
      </x:c>
      <x:c r="H78" s="496" t="str">
        <x:v>拾取/拼合 1 秒</x:v>
      </x:c>
      <x:c r="I78" s="496" t="str">
        <x:v>PNG + UI card</x:v>
      </x:c>
      <x:c r="J78" s="496" t="str">
        <x:v>真相碎片</x:v>
      </x:c>
      <x:c r="K78" s="497" t="str">
        <x:v>P1</x:v>
      </x:c>
      <x:c r="L78" s="497" t="str">
        <x:v>M3 全内容</x:v>
      </x:c>
      <x:c r="M78" s="497" t="str">
        <x:v>待制作</x:v>
      </x:c>
      <x:c r="N78" s="498" t="n">
        <x:v>2</x:v>
      </x:c>
      <x:c r="O78" s="499" t="n">
        <x:v>1.5</x:v>
      </x:c>
      <x:c r="P78" s="496" t="str"/>
      <x:c r="Q78" s="496" t="str">
        <x:v>不能与通关必需信息混淆</x:v>
      </x:c>
    </x:row>
    <x:row r="79" ht="62" customHeight="1">
      <x:c r="A79" s="495" t="str">
        <x:v>CAR-03-TX-01</x:v>
      </x:c>
      <x:c r="B79" s="495" t="str">
        <x:v>第三节车厢｜当代城市 / 能量分配</x:v>
      </x:c>
      <x:c r="C79" s="495" t="str">
        <x:v>转场</x:v>
      </x:c>
      <x:c r="D79" s="496" t="str">
        <x:v>当代城市离场转场</x:v>
      </x:c>
      <x:c r="E79" s="496" t="str">
        <x:v>将本关视觉语言自然变成下一关</x:v>
      </x:c>
      <x:c r="F79" s="496" t="str">
        <x:v>广告画面拉长成霓虹城市，像素字体倒退为复古字形</x:v>
      </x:c>
      <x:c r="G79" s="496" t="str">
        <x:v>正常 / 低稳定度变体</x:v>
      </x:c>
      <x:c r="H79" s="496" t="str">
        <x:v>2–4 秒</x:v>
      </x:c>
      <x:c r="I79" s="496" t="str">
        <x:v>Overlay + props states</x:v>
      </x:c>
      <x:c r="J79" s="496" t="str">
        <x:v>转场</x:v>
      </x:c>
      <x:c r="K79" s="497" t="str">
        <x:v>P1</x:v>
      </x:c>
      <x:c r="L79" s="497" t="str">
        <x:v>M3 全内容</x:v>
      </x:c>
      <x:c r="M79" s="497" t="str">
        <x:v>待制作</x:v>
      </x:c>
      <x:c r="N79" s="498" t="n">
        <x:v>2</x:v>
      </x:c>
      <x:c r="O79" s="499" t="n">
        <x:v>2</x:v>
      </x:c>
      <x:c r="P79" s="496" t="str"/>
      <x:c r="Q79" s="496" t="str">
        <x:v>加载隐藏在门板、黑场或全屏材质蔓延中</x:v>
      </x:c>
    </x:row>
    <x:row r="80" ht="62" customHeight="1">
      <x:c r="A80" s="495" t="str">
        <x:v>CAR-03-UI-01</x:v>
      </x:c>
      <x:c r="B80" s="495" t="str">
        <x:v>第三节车厢｜当代城市 / 能量分配</x:v>
      </x:c>
      <x:c r="C80" s="495" t="str">
        <x:v>UI / 图标</x:v>
      </x:c>
      <x:c r="D80" s="496" t="str">
        <x:v>当代城市机制图标与教程卡</x:v>
      </x:c>
      <x:c r="E80" s="496" t="str">
        <x:v>让新机制在 10–20 秒内可学会</x:v>
      </x:c>
      <x:c r="F80" s="496" t="str">
        <x:v>为“有限电力在照明、通风、门与乘客设备间分配”制作动作图标、状态图例和一张无文字示意卡</x:v>
      </x:c>
      <x:c r="G80" s="496" t="str">
        <x:v>键鼠 / 手柄 / 完成</x:v>
      </x:c>
      <x:c r="H80" s="496" t="str">
        <x:v>出现、确认、淡出</x:v>
      </x:c>
      <x:c r="I80" s="496" t="str">
        <x:v>SVG + 2× PNG</x:v>
      </x:c>
      <x:c r="J80" s="496" t="str">
        <x:v>UI 全局</x:v>
      </x:c>
      <x:c r="K80" s="497" t="str">
        <x:v>P0</x:v>
      </x:c>
      <x:c r="L80" s="497" t="str">
        <x:v>M3 全内容</x:v>
      </x:c>
      <x:c r="M80" s="497" t="str">
        <x:v>待制作</x:v>
      </x:c>
      <x:c r="N80" s="498" t="n">
        <x:v>6</x:v>
      </x:c>
      <x:c r="O80" s="499" t="n">
        <x:v>2</x:v>
      </x:c>
      <x:c r="P80" s="496" t="str"/>
      <x:c r="Q80" s="496" t="str">
        <x:v>不依赖英文；课堂试玩可独立理解</x:v>
      </x:c>
    </x:row>
    <x:row r="81" ht="62" customHeight="1">
      <x:c r="A81" s="495" t="str">
        <x:v>CAR-03-SET-01</x:v>
      </x:c>
      <x:c r="B81" s="495" t="str">
        <x:v>第三节车厢｜当代城市 / 能量分配</x:v>
      </x:c>
      <x:c r="C81" s="495" t="str">
        <x:v>高潮演出</x:v>
      </x:c>
      <x:c r="D81" s="496" t="str">
        <x:v>当代城市关卡完成场景</x:v>
      </x:c>
      <x:c r="E81" s="496" t="str">
        <x:v>让解谜高潮拥有与战斗同等的视觉份量</x:v>
      </x:c>
      <x:c r="F81" s="496" t="str">
        <x:v>玩家必须牺牲便利设施救一个人；车厢视觉永久保留选择痕迹</x:v>
      </x:c>
      <x:c r="G81" s="496" t="str">
        <x:v>进入 / 进行 / 完成 / 失败恢复</x:v>
      </x:c>
      <x:c r="H81" s="496" t="str">
        <x:v>3–8 秒分镜演出</x:v>
      </x:c>
      <x:c r="I81" s="496" t="str">
        <x:v>分层场景 + VFX</x:v>
      </x:c>
      <x:c r="J81" s="496" t="str">
        <x:v>关卡 3</x:v>
      </x:c>
      <x:c r="K81" s="497" t="str">
        <x:v>P1</x:v>
      </x:c>
      <x:c r="L81" s="497" t="str">
        <x:v>M4 抛光</x:v>
      </x:c>
      <x:c r="M81" s="497" t="str">
        <x:v>待制作</x:v>
      </x:c>
      <x:c r="N81" s="498" t="n">
        <x:v>1</x:v>
      </x:c>
      <x:c r="O81" s="499" t="n">
        <x:v>4</x:v>
      </x:c>
      <x:c r="P81" s="496" t="str"/>
      <x:c r="Q81" s="496" t="str">
        <x:v>镜头不夺走玩家控制超过必要时长</x:v>
      </x:c>
    </x:row>
    <x:row r="82" ht="62" customHeight="1">
      <x:c r="A82" s="495" t="str">
        <x:v>CAR-04-ENV-01</x:v>
      </x:c>
      <x:c r="B82" s="495" t="str">
        <x:v>第四节车厢｜复古赛博 / 频率切换</x:v>
      </x:c>
      <x:c r="C82" s="495" t="str">
        <x:v>环境背景</x:v>
      </x:c>
      <x:c r="D82" s="496" t="str">
        <x:v>复古赛博窗外全景</x:v>
      </x:c>
      <x:c r="E82" s="496" t="str">
        <x:v>“未来”是被反复销售的过去，真相藏在信号夹层。</x:v>
      </x:c>
      <x:c r="F82" s="496" t="str">
        <x:v>现有 11408×941 左右全景；做构图清理、色值统一和 AI 母题检查。主题：CRT 扫描线与断裂无限结</x:v>
      </x:c>
      <x:c r="G82" s="496" t="str">
        <x:v>源图 / 运行时三切片</x:v>
      </x:c>
      <x:c r="H82" s="496" t="str">
        <x:v>视差移动</x:v>
      </x:c>
      <x:c r="I82" s="496" t="str">
        <x:v>现有 PNG 源图 + 自动生成 JPG chunks</x:v>
      </x:c>
      <x:c r="J82" s="496" t="str">
        <x:v>关卡 4</x:v>
      </x:c>
      <x:c r="K82" s="497" t="str">
        <x:v>P0</x:v>
      </x:c>
      <x:c r="L82" s="497" t="str">
        <x:v>M1 垂直切片</x:v>
      </x:c>
      <x:c r="M82" s="497" t="str">
        <x:v>已集成</x:v>
      </x:c>
      <x:c r="N82" s="498" t="n">
        <x:v>1</x:v>
      </x:c>
      <x:c r="O82" s="499" t="n">
        <x:v>0.5</x:v>
      </x:c>
      <x:c r="P82" s="496" t="str"/>
      <x:c r="Q82" s="496" t="str">
        <x:v>现有文件：world_04_retro_cyberpunk_panorama_fullres.png；需最终美术审核</x:v>
      </x:c>
    </x:row>
    <x:row r="83" ht="62" customHeight="1">
      <x:c r="A83" s="495" t="str">
        <x:v>CAR-04-ENV-02</x:v>
      </x:c>
      <x:c r="B83" s="495" t="str">
        <x:v>第四节车厢｜复古赛博 / 频率切换</x:v>
      </x:c>
      <x:c r="C83" s="495" t="str">
        <x:v>车厢皮肤</x:v>
      </x:c>
      <x:c r="D83" s="496" t="str">
        <x:v>复古赛博车厢内饰覆盖层</x:v>
      </x:c>
      <x:c r="E83" s="496" t="str">
        <x:v>让玩家明确处于同一列车但时代材质被重写</x:v>
      </x:c>
      <x:c r="F83" s="496" t="str">
        <x:v>CRT 显示器、粗电缆、磁带机、模拟旋钮、紫蓝霓虹</x:v>
      </x:c>
      <x:c r="G83" s="496" t="str">
        <x:v>完好 / 受损 / 解谜完成</x:v>
      </x:c>
      <x:c r="H83" s="496" t="str">
        <x:v>局部状态切换</x:v>
      </x:c>
      <x:c r="I83" s="496" t="str">
        <x:v>分层 PNG/WebP，匹配统一车厢骨架</x:v>
      </x:c>
      <x:c r="J83" s="496" t="str">
        <x:v>车厢骨架</x:v>
      </x:c>
      <x:c r="K83" s="497" t="str">
        <x:v>P0</x:v>
      </x:c>
      <x:c r="L83" s="497" t="str">
        <x:v>M3 全内容</x:v>
      </x:c>
      <x:c r="M83" s="497" t="str">
        <x:v>待制作</x:v>
      </x:c>
      <x:c r="N83" s="498" t="n">
        <x:v>3</x:v>
      </x:c>
      <x:c r="O83" s="499" t="n">
        <x:v>3.5</x:v>
      </x:c>
      <x:c r="P83" s="496" t="str"/>
      <x:c r="Q83" s="496" t="str">
        <x:v>必须保留门窗锚点，不能每关改变碰撞布局</x:v>
      </x:c>
    </x:row>
    <x:row r="84" ht="62" customHeight="1">
      <x:c r="A84" s="495" t="str">
        <x:v>CAR-04-ENV-03</x:v>
      </x:c>
      <x:c r="B84" s="495" t="str">
        <x:v>第四节车厢｜复古赛博 / 频率切换</x:v>
      </x:c>
      <x:c r="C84" s="495" t="str">
        <x:v>前景层</x:v>
      </x:c>
      <x:c r="D84" s="496" t="str">
        <x:v>复古赛博近景框景套装</x:v>
      </x:c>
      <x:c r="E84" s="496" t="str">
        <x:v>建立前、中、后景，避免只剩一张横向背景</x:v>
      </x:c>
      <x:c r="F84" s="496" t="str">
        <x:v>近景 CRT 边框、悬挂磁带、百叶窗光栅与雨湿玻璃</x:v>
      </x:c>
      <x:c r="G84" s="496" t="str">
        <x:v>左 / 右 / 中段，至少 3 个构图</x:v>
      </x:c>
      <x:c r="H84" s="496" t="str">
        <x:v>靠近玩家淡出</x:v>
      </x:c>
      <x:c r="I84" s="496" t="str">
        <x:v>透明 PNG/WebP，2×</x:v>
      </x:c>
      <x:c r="J84" s="496" t="str">
        <x:v>前景层</x:v>
      </x:c>
      <x:c r="K84" s="497" t="str">
        <x:v>P1</x:v>
      </x:c>
      <x:c r="L84" s="497" t="str">
        <x:v>M3 全内容</x:v>
      </x:c>
      <x:c r="M84" s="497" t="str">
        <x:v>待制作</x:v>
      </x:c>
      <x:c r="N84" s="498" t="n">
        <x:v>6</x:v>
      </x:c>
      <x:c r="O84" s="499" t="n">
        <x:v>3</x:v>
      </x:c>
      <x:c r="P84" s="496" t="str"/>
      <x:c r="Q84" s="496" t="str">
        <x:v>每个 960×600 画面最多遮 20% 核心行动区</x:v>
      </x:c>
    </x:row>
    <x:row r="85" ht="62" customHeight="1">
      <x:c r="A85" s="495" t="str">
        <x:v>CAR-04-ENV-04</x:v>
      </x:c>
      <x:c r="B85" s="495" t="str">
        <x:v>第四节车厢｜复古赛博 / 频率切换</x:v>
      </x:c>
      <x:c r="C85" s="495" t="str">
        <x:v>环境动画</x:v>
      </x:c>
      <x:c r="D85" s="496" t="str">
        <x:v>复古赛博氛围循环包</x:v>
      </x:c>
      <x:c r="E85" s="496" t="str">
        <x:v>让静态全景持续有生命和时间感</x:v>
      </x:c>
      <x:c r="F85" s="496" t="str">
        <x:v>雨线、霓虹反射、CRT 噪点、远处悬浮广告缓慢漂移</x:v>
      </x:c>
      <x:c r="G85" s="496" t="str">
        <x:v>近 / 中 / 远三层循环</x:v>
      </x:c>
      <x:c r="H85" s="496" t="str">
        <x:v>2–8 秒错峰循环</x:v>
      </x:c>
      <x:c r="I85" s="496" t="str">
        <x:v>Particle atlas / loop strips</x:v>
      </x:c>
      <x:c r="J85" s="496" t="str">
        <x:v>全局氛围</x:v>
      </x:c>
      <x:c r="K85" s="497" t="str">
        <x:v>P1</x:v>
      </x:c>
      <x:c r="L85" s="497" t="str">
        <x:v>M4 抛光</x:v>
      </x:c>
      <x:c r="M85" s="497" t="str">
        <x:v>待制作</x:v>
      </x:c>
      <x:c r="N85" s="498" t="n">
        <x:v>6</x:v>
      </x:c>
      <x:c r="O85" s="499" t="n">
        <x:v>3.5</x:v>
      </x:c>
      <x:c r="P85" s="496" t="str"/>
      <x:c r="Q85" s="496" t="str">
        <x:v>至少一个室内循环 + 一个窗外循环</x:v>
      </x:c>
    </x:row>
    <x:row r="86" ht="62" customHeight="1">
      <x:c r="A86" s="495" t="str">
        <x:v>CAR-04-LGT-01</x:v>
      </x:c>
      <x:c r="B86" s="495" t="str">
        <x:v>第四节车厢｜复古赛博 / 频率切换</x:v>
      </x:c>
      <x:c r="C86" s="495" t="str">
        <x:v>灯光 / 调色</x:v>
      </x:c>
      <x:c r="D86" s="496" t="str">
        <x:v>复古赛博灯光与完成态</x:v>
      </x:c>
      <x:c r="E86" s="496" t="str">
        <x:v>把交互焦点、危险和叙事高潮分开读清</x:v>
      </x:c>
      <x:c r="F86" s="496" t="str">
        <x:v>主色脚本：#130D26 / #382A57 / #3DE1D1 / #F23DAA；完成后画面必须发生可见的光线变化</x:v>
      </x:c>
      <x:c r="G86" s="496" t="str">
        <x:v>探索 / 危险 / 完成</x:v>
      </x:c>
      <x:c r="H86" s="496" t="str">
        <x:v>灯光渐变 1–3 秒</x:v>
      </x:c>
      <x:c r="I86" s="496" t="str">
        <x:v>Overlay / LUT 参考</x:v>
      </x:c>
      <x:c r="J86" s="496" t="str">
        <x:v>关卡 4</x:v>
      </x:c>
      <x:c r="K86" s="497" t="str">
        <x:v>P0</x:v>
      </x:c>
      <x:c r="L86" s="497" t="str">
        <x:v>M3 全内容</x:v>
      </x:c>
      <x:c r="M86" s="497" t="str">
        <x:v>待制作</x:v>
      </x:c>
      <x:c r="N86" s="498" t="n">
        <x:v>3</x:v>
      </x:c>
      <x:c r="O86" s="499" t="n">
        <x:v>1.5</x:v>
      </x:c>
      <x:c r="P86" s="496" t="str"/>
      <x:c r="Q86" s="496" t="str">
        <x:v>主角与交互物对比度在三种状态均合格</x:v>
      </x:c>
    </x:row>
    <x:row r="87" ht="62" customHeight="1">
      <x:c r="A87" s="495" t="str">
        <x:v>CAR-04-PRP-01</x:v>
      </x:c>
      <x:c r="B87" s="495" t="str">
        <x:v>第四节车厢｜复古赛博 / 频率切换</x:v>
      </x:c>
      <x:c r="C87" s="495" t="str">
        <x:v>核心机制道具</x:v>
      </x:c>
      <x:c r="D87" s="496" t="str">
        <x:v>复古赛博主机关套装</x:v>
      </x:c>
      <x:c r="E87" s="496" t="str">
        <x:v>支撑核心机制：调节广播频率，在两套叠加现实间切换道路与信息</x:v>
      </x:c>
      <x:c r="F87" s="496" t="str">
        <x:v>三段频率旋钮、天线、磁带插槽、相位桥、信号门</x:v>
      </x:c>
      <x:c r="G87" s="496" t="str">
        <x:v>频道 A / B / 干扰层 / 锁频 / 过曝</x:v>
      </x:c>
      <x:c r="H87" s="496" t="str">
        <x:v>操作、反馈、完成动作</x:v>
      </x:c>
      <x:c r="I87" s="496" t="str">
        <x:v>Sprite atlas + 分层静态件</x:v>
      </x:c>
      <x:c r="J87" s="496" t="str">
        <x:v>关卡 4</x:v>
      </x:c>
      <x:c r="K87" s="497" t="str">
        <x:v>P0</x:v>
      </x:c>
      <x:c r="L87" s="497" t="str">
        <x:v>M3 全内容</x:v>
      </x:c>
      <x:c r="M87" s="497" t="str">
        <x:v>待制作</x:v>
      </x:c>
      <x:c r="N87" s="498" t="n">
        <x:v>8</x:v>
      </x:c>
      <x:c r="O87" s="499" t="n">
        <x:v>5.5</x:v>
      </x:c>
      <x:c r="P87" s="496" t="str"/>
      <x:c r="Q87" s="496" t="str">
        <x:v>每个状态不靠文字也能分辨；手部接触点明确</x:v>
      </x:c>
    </x:row>
    <x:row r="88" ht="62" customHeight="1">
      <x:c r="A88" s="495" t="str">
        <x:v>CAR-04-PRP-02</x:v>
      </x:c>
      <x:c r="B88" s="495" t="str">
        <x:v>第四节车厢｜复古赛博 / 频率切换</x:v>
      </x:c>
      <x:c r="C88" s="495" t="str">
        <x:v>机制反馈</x:v>
      </x:c>
      <x:c r="D88" s="496" t="str">
        <x:v>复古赛博线路 / 路径 / 因果可视化</x:v>
      </x:c>
      <x:c r="E88" s="496" t="str">
        <x:v>让玩家能读懂自己改变了什么</x:v>
      </x:c>
      <x:c r="F88" s="496" t="str">
        <x:v>用关卡材质呈现输入→传输→结果；围绕“调节广播频率，在两套叠加现实间切换道路与信息”制作视觉链</x:v>
      </x:c>
      <x:c r="G88" s="496" t="str">
        <x:v>未连接 / 部分 / 错误 / 成功</x:v>
      </x:c>
      <x:c r="H88" s="496" t="str">
        <x:v>沿路径传播</x:v>
      </x:c>
      <x:c r="I88" s="496" t="str">
        <x:v>Overlay / decal / VFX atlas</x:v>
      </x:c>
      <x:c r="J88" s="496" t="str">
        <x:v>关卡 4</x:v>
      </x:c>
      <x:c r="K88" s="497" t="str">
        <x:v>P0</x:v>
      </x:c>
      <x:c r="L88" s="497" t="str">
        <x:v>M3 全内容</x:v>
      </x:c>
      <x:c r="M88" s="497" t="str">
        <x:v>待制作</x:v>
      </x:c>
      <x:c r="N88" s="498" t="n">
        <x:v>4</x:v>
      </x:c>
      <x:c r="O88" s="499" t="n">
        <x:v>3</x:v>
      </x:c>
      <x:c r="P88" s="496" t="str"/>
      <x:c r="Q88" s="496" t="str">
        <x:v>反馈必须在一屏内或用清晰方向引导</x:v>
      </x:c>
    </x:row>
    <x:row r="89" ht="62" customHeight="1">
      <x:c r="A89" s="495" t="str">
        <x:v>CAR-04-CHR-01</x:v>
      </x:c>
      <x:c r="B89" s="495" t="str">
        <x:v>第四节车厢｜复古赛博 / 频率切换</x:v>
      </x:c>
      <x:c r="C89" s="495" t="str">
        <x:v>角色 / NPC</x:v>
      </x:c>
      <x:c r="D89" s="496" t="str">
        <x:v>复古赛博关键角色包</x:v>
      </x:c>
      <x:c r="E89" s="496" t="str">
        <x:v>让机制通过关系和选择产生意义</x:v>
      </x:c>
      <x:c r="F89" s="496" t="str">
        <x:v>地下广播主持人，只能在特定频率看见</x:v>
      </x:c>
      <x:c r="G89" s="496" t="str">
        <x:v>中性 / 请求 / 受威胁 / 获救</x:v>
      </x:c>
      <x:c r="H89" s="496" t="str">
        <x:v>idle、反应、合作、离场</x:v>
      </x:c>
      <x:c r="I89" s="496" t="str">
        <x:v>模块角色 atlas + portrait</x:v>
      </x:c>
      <x:c r="J89" s="496" t="str">
        <x:v>关卡 4</x:v>
      </x:c>
      <x:c r="K89" s="497" t="str">
        <x:v>P0</x:v>
      </x:c>
      <x:c r="L89" s="497" t="str">
        <x:v>M3 全内容</x:v>
      </x:c>
      <x:c r="M89" s="497" t="str">
        <x:v>待制作</x:v>
      </x:c>
      <x:c r="N89" s="498" t="n">
        <x:v>4</x:v>
      </x:c>
      <x:c r="O89" s="499" t="n">
        <x:v>5</x:v>
      </x:c>
      <x:c r="P89" s="496" t="str"/>
      <x:c r="Q89" s="496" t="str">
        <x:v>至少一名角色会因玩家行为改变姿态/位置</x:v>
      </x:c>
    </x:row>
    <x:row r="90" ht="62" customHeight="1">
      <x:c r="A90" s="495" t="str">
        <x:v>CAR-04-HAZ-01</x:v>
      </x:c>
      <x:c r="B90" s="495" t="str">
        <x:v>第四节车厢｜复古赛博 / 频率切换</x:v>
      </x:c>
      <x:c r="C90" s="495" t="str">
        <x:v>危险与导航</x:v>
      </x:c>
      <x:c r="D90" s="496" t="str">
        <x:v>复古赛博非战斗压力套装</x:v>
      </x:c>
      <x:c r="E90" s="496" t="str">
        <x:v>提供挑战但保留多种解法</x:v>
      </x:c>
      <x:c r="F90" s="496" t="str">
        <x:v>频道切错导致平台/门消失；预告充分，允许快速切回</x:v>
      </x:c>
      <x:c r="G90" s="496" t="str">
        <x:v>预警 / 激活 / 可绕过 / 已解除</x:v>
      </x:c>
      <x:c r="H90" s="496" t="str">
        <x:v>预警循环 + 解除反馈</x:v>
      </x:c>
      <x:c r="I90" s="496" t="str">
        <x:v>Props + VFX</x:v>
      </x:c>
      <x:c r="J90" s="496" t="str">
        <x:v>关卡 4</x:v>
      </x:c>
      <x:c r="K90" s="497" t="str">
        <x:v>P1</x:v>
      </x:c>
      <x:c r="L90" s="497" t="str">
        <x:v>M3 全内容</x:v>
      </x:c>
      <x:c r="M90" s="497" t="str">
        <x:v>待制作</x:v>
      </x:c>
      <x:c r="N90" s="498" t="n">
        <x:v>5</x:v>
      </x:c>
      <x:c r="O90" s="499" t="n">
        <x:v>3.5</x:v>
      </x:c>
      <x:c r="P90" s="496" t="str"/>
      <x:c r="Q90" s="496" t="str">
        <x:v>危险出现前至少 0.5 秒可读预警</x:v>
      </x:c>
    </x:row>
    <x:row r="91" ht="62" customHeight="1">
      <x:c r="A91" s="495" t="str">
        <x:v>CAR-04-NAR-01</x:v>
      </x:c>
      <x:c r="B91" s="495" t="str">
        <x:v>第四节车厢｜复古赛博 / 频率切换</x:v>
      </x:c>
      <x:c r="C91" s="495" t="str">
        <x:v>环境叙事</x:v>
      </x:c>
      <x:c r="D91" s="496" t="str">
        <x:v>复古赛博真相碎片</x:v>
      </x:c>
      <x:c r="E91" s="496" t="str">
        <x:v>把探索奖励连到 AI 控制与主角身份</x:v>
      </x:c>
      <x:c r="F91" s="496" t="str">
        <x:v>旧广告里列车长使用与现在完全相同的台词</x:v>
      </x:c>
      <x:c r="G91" s="496" t="str">
        <x:v>未发现 / 显影 / 收录</x:v>
      </x:c>
      <x:c r="H91" s="496" t="str">
        <x:v>拾取/拼合 1 秒</x:v>
      </x:c>
      <x:c r="I91" s="496" t="str">
        <x:v>PNG + UI card</x:v>
      </x:c>
      <x:c r="J91" s="496" t="str">
        <x:v>真相碎片</x:v>
      </x:c>
      <x:c r="K91" s="497" t="str">
        <x:v>P1</x:v>
      </x:c>
      <x:c r="L91" s="497" t="str">
        <x:v>M3 全内容</x:v>
      </x:c>
      <x:c r="M91" s="497" t="str">
        <x:v>待制作</x:v>
      </x:c>
      <x:c r="N91" s="498" t="n">
        <x:v>2</x:v>
      </x:c>
      <x:c r="O91" s="499" t="n">
        <x:v>1.5</x:v>
      </x:c>
      <x:c r="P91" s="496" t="str"/>
      <x:c r="Q91" s="496" t="str">
        <x:v>不能与通关必需信息混淆</x:v>
      </x:c>
    </x:row>
    <x:row r="92" ht="62" customHeight="1">
      <x:c r="A92" s="495" t="str">
        <x:v>CAR-04-TX-01</x:v>
      </x:c>
      <x:c r="B92" s="495" t="str">
        <x:v>第四节车厢｜复古赛博 / 频率切换</x:v>
      </x:c>
      <x:c r="C92" s="495" t="str">
        <x:v>转场</x:v>
      </x:c>
      <x:c r="D92" s="496" t="str">
        <x:v>复古赛博离场转场</x:v>
      </x:c>
      <x:c r="E92" s="496" t="str">
        <x:v>将本关视觉语言自然变成下一关</x:v>
      </x:c>
      <x:c r="F92" s="496" t="str">
        <x:v>CRT 噪点变成战地雪花与无线电静电</x:v>
      </x:c>
      <x:c r="G92" s="496" t="str">
        <x:v>正常 / 低稳定度变体</x:v>
      </x:c>
      <x:c r="H92" s="496" t="str">
        <x:v>2–4 秒</x:v>
      </x:c>
      <x:c r="I92" s="496" t="str">
        <x:v>Overlay + props states</x:v>
      </x:c>
      <x:c r="J92" s="496" t="str">
        <x:v>转场</x:v>
      </x:c>
      <x:c r="K92" s="497" t="str">
        <x:v>P1</x:v>
      </x:c>
      <x:c r="L92" s="497" t="str">
        <x:v>M3 全内容</x:v>
      </x:c>
      <x:c r="M92" s="497" t="str">
        <x:v>待制作</x:v>
      </x:c>
      <x:c r="N92" s="498" t="n">
        <x:v>2</x:v>
      </x:c>
      <x:c r="O92" s="499" t="n">
        <x:v>2</x:v>
      </x:c>
      <x:c r="P92" s="496" t="str"/>
      <x:c r="Q92" s="496" t="str">
        <x:v>加载隐藏在门板、黑场或全屏材质蔓延中</x:v>
      </x:c>
    </x:row>
    <x:row r="93" ht="62" customHeight="1">
      <x:c r="A93" s="495" t="str">
        <x:v>CAR-04-UI-01</x:v>
      </x:c>
      <x:c r="B93" s="495" t="str">
        <x:v>第四节车厢｜复古赛博 / 频率切换</x:v>
      </x:c>
      <x:c r="C93" s="495" t="str">
        <x:v>UI / 图标</x:v>
      </x:c>
      <x:c r="D93" s="496" t="str">
        <x:v>复古赛博机制图标与教程卡</x:v>
      </x:c>
      <x:c r="E93" s="496" t="str">
        <x:v>让新机制在 10–20 秒内可学会</x:v>
      </x:c>
      <x:c r="F93" s="496" t="str">
        <x:v>为“调节广播频率，在两套叠加现实间切换道路与信息”制作动作图标、状态图例和一张无文字示意卡</x:v>
      </x:c>
      <x:c r="G93" s="496" t="str">
        <x:v>键鼠 / 手柄 / 完成</x:v>
      </x:c>
      <x:c r="H93" s="496" t="str">
        <x:v>出现、确认、淡出</x:v>
      </x:c>
      <x:c r="I93" s="496" t="str">
        <x:v>SVG + 2× PNG</x:v>
      </x:c>
      <x:c r="J93" s="496" t="str">
        <x:v>UI 全局</x:v>
      </x:c>
      <x:c r="K93" s="497" t="str">
        <x:v>P0</x:v>
      </x:c>
      <x:c r="L93" s="497" t="str">
        <x:v>M3 全内容</x:v>
      </x:c>
      <x:c r="M93" s="497" t="str">
        <x:v>待制作</x:v>
      </x:c>
      <x:c r="N93" s="498" t="n">
        <x:v>6</x:v>
      </x:c>
      <x:c r="O93" s="499" t="n">
        <x:v>2</x:v>
      </x:c>
      <x:c r="P93" s="496" t="str"/>
      <x:c r="Q93" s="496" t="str">
        <x:v>不依赖英文；课堂试玩可独立理解</x:v>
      </x:c>
    </x:row>
    <x:row r="94" ht="62" customHeight="1">
      <x:c r="A94" s="495" t="str">
        <x:v>CAR-04-SET-01</x:v>
      </x:c>
      <x:c r="B94" s="495" t="str">
        <x:v>第四节车厢｜复古赛博 / 频率切换</x:v>
      </x:c>
      <x:c r="C94" s="495" t="str">
        <x:v>高潮演出</x:v>
      </x:c>
      <x:c r="D94" s="496" t="str">
        <x:v>复古赛博关卡完成场景</x:v>
      </x:c>
      <x:c r="E94" s="496" t="str">
        <x:v>让解谜高潮拥有与战斗同等的视觉份量</x:v>
      </x:c>
      <x:c r="F94" s="496" t="str">
        <x:v>两个频道的 NPC 同时给出矛盾指令，玩家用环境证据判断可信者</x:v>
      </x:c>
      <x:c r="G94" s="496" t="str">
        <x:v>进入 / 进行 / 完成 / 失败恢复</x:v>
      </x:c>
      <x:c r="H94" s="496" t="str">
        <x:v>3–8 秒分镜演出</x:v>
      </x:c>
      <x:c r="I94" s="496" t="str">
        <x:v>分层场景 + VFX</x:v>
      </x:c>
      <x:c r="J94" s="496" t="str">
        <x:v>关卡 4</x:v>
      </x:c>
      <x:c r="K94" s="497" t="str">
        <x:v>P1</x:v>
      </x:c>
      <x:c r="L94" s="497" t="str">
        <x:v>M4 抛光</x:v>
      </x:c>
      <x:c r="M94" s="497" t="str">
        <x:v>待制作</x:v>
      </x:c>
      <x:c r="N94" s="498" t="n">
        <x:v>1</x:v>
      </x:c>
      <x:c r="O94" s="499" t="n">
        <x:v>4</x:v>
      </x:c>
      <x:c r="P94" s="496" t="str"/>
      <x:c r="Q94" s="496" t="str">
        <x:v>镜头不夺走玩家控制超过必要时长</x:v>
      </x:c>
    </x:row>
    <x:row r="95" ht="62" customHeight="1">
      <x:c r="A95" s="495" t="str">
        <x:v>CAR-05-ENV-01</x:v>
      </x:c>
      <x:c r="B95" s="495" t="str">
        <x:v>第五节车厢｜战争 / 声音与信号</x:v>
      </x:c>
      <x:c r="C95" s="495" t="str">
        <x:v>环境背景</x:v>
      </x:c>
      <x:c r="D95" s="496" t="str">
        <x:v>战争窗外全景</x:v>
      </x:c>
      <x:c r="E95" s="496" t="str">
        <x:v>战争不是英雄布景，而是系统用来合理化控制与牺牲的借口。</x:v>
      </x:c>
      <x:c r="F95" s="496" t="str">
        <x:v>现有 11408×941 左右全景；做构图清理、色值统一和 AI 母题检查。主题：军用瞄准标记逐渐对齐 AI 权限框</x:v>
      </x:c>
      <x:c r="G95" s="496" t="str">
        <x:v>源图 / 运行时三切片</x:v>
      </x:c>
      <x:c r="H95" s="496" t="str">
        <x:v>视差移动</x:v>
      </x:c>
      <x:c r="I95" s="496" t="str">
        <x:v>现有 PNG 源图 + 自动生成 JPG chunks</x:v>
      </x:c>
      <x:c r="J95" s="496" t="str">
        <x:v>关卡 5</x:v>
      </x:c>
      <x:c r="K95" s="497" t="str">
        <x:v>P0</x:v>
      </x:c>
      <x:c r="L95" s="497" t="str">
        <x:v>M1 垂直切片</x:v>
      </x:c>
      <x:c r="M95" s="497" t="str">
        <x:v>已集成</x:v>
      </x:c>
      <x:c r="N95" s="498" t="n">
        <x:v>1</x:v>
      </x:c>
      <x:c r="O95" s="499" t="n">
        <x:v>0.5</x:v>
      </x:c>
      <x:c r="P95" s="496" t="str"/>
      <x:c r="Q95" s="496" t="str">
        <x:v>现有文件：world_09_world_war_panorama_fullres.png；需最终美术审核</x:v>
      </x:c>
    </x:row>
    <x:row r="96" ht="62" customHeight="1">
      <x:c r="A96" s="495" t="str">
        <x:v>CAR-05-ENV-02</x:v>
      </x:c>
      <x:c r="B96" s="495" t="str">
        <x:v>第五节车厢｜战争 / 声音与信号</x:v>
      </x:c>
      <x:c r="C96" s="495" t="str">
        <x:v>车厢皮肤</x:v>
      </x:c>
      <x:c r="D96" s="496" t="str">
        <x:v>战争车厢内饰覆盖层</x:v>
      </x:c>
      <x:c r="E96" s="496" t="str">
        <x:v>让玩家明确处于同一列车但时代材质被重写</x:v>
      </x:c>
      <x:c r="F96" s="496" t="str">
        <x:v>木板加固、沙袋、战地灯、地图桌、破窗帘和无线电设备</x:v>
      </x:c>
      <x:c r="G96" s="496" t="str">
        <x:v>完好 / 受损 / 解谜完成</x:v>
      </x:c>
      <x:c r="H96" s="496" t="str">
        <x:v>局部状态切换</x:v>
      </x:c>
      <x:c r="I96" s="496" t="str">
        <x:v>分层 PNG/WebP，匹配统一车厢骨架</x:v>
      </x:c>
      <x:c r="J96" s="496" t="str">
        <x:v>车厢骨架</x:v>
      </x:c>
      <x:c r="K96" s="497" t="str">
        <x:v>P0</x:v>
      </x:c>
      <x:c r="L96" s="497" t="str">
        <x:v>M3 全内容</x:v>
      </x:c>
      <x:c r="M96" s="497" t="str">
        <x:v>待制作</x:v>
      </x:c>
      <x:c r="N96" s="498" t="n">
        <x:v>3</x:v>
      </x:c>
      <x:c r="O96" s="499" t="n">
        <x:v>3.5</x:v>
      </x:c>
      <x:c r="P96" s="496" t="str"/>
      <x:c r="Q96" s="496" t="str">
        <x:v>必须保留门窗锚点，不能每关改变碰撞布局</x:v>
      </x:c>
    </x:row>
    <x:row r="97" ht="62" customHeight="1">
      <x:c r="A97" s="495" t="str">
        <x:v>CAR-05-ENV-03</x:v>
      </x:c>
      <x:c r="B97" s="495" t="str">
        <x:v>第五节车厢｜战争 / 声音与信号</x:v>
      </x:c>
      <x:c r="C97" s="495" t="str">
        <x:v>前景层</x:v>
      </x:c>
      <x:c r="D97" s="496" t="str">
        <x:v>战争近景框景套装</x:v>
      </x:c>
      <x:c r="E97" s="496" t="str">
        <x:v>建立前、中、后景，避免只剩一张横向背景</x:v>
      </x:c>
      <x:c r="F97" s="496" t="str">
        <x:v>沙袋、吊着的地图、医药箱、烟尘与晃动灯罩</x:v>
      </x:c>
      <x:c r="G97" s="496" t="str">
        <x:v>左 / 右 / 中段，至少 3 个构图</x:v>
      </x:c>
      <x:c r="H97" s="496" t="str">
        <x:v>靠近玩家淡出</x:v>
      </x:c>
      <x:c r="I97" s="496" t="str">
        <x:v>透明 PNG/WebP，2×</x:v>
      </x:c>
      <x:c r="J97" s="496" t="str">
        <x:v>前景层</x:v>
      </x:c>
      <x:c r="K97" s="497" t="str">
        <x:v>P1</x:v>
      </x:c>
      <x:c r="L97" s="497" t="str">
        <x:v>M3 全内容</x:v>
      </x:c>
      <x:c r="M97" s="497" t="str">
        <x:v>待制作</x:v>
      </x:c>
      <x:c r="N97" s="498" t="n">
        <x:v>6</x:v>
      </x:c>
      <x:c r="O97" s="499" t="n">
        <x:v>3</x:v>
      </x:c>
      <x:c r="P97" s="496" t="str"/>
      <x:c r="Q97" s="496" t="str">
        <x:v>每个 960×600 画面最多遮 20% 核心行动区</x:v>
      </x:c>
    </x:row>
    <x:row r="98" ht="62" customHeight="1">
      <x:c r="A98" s="495" t="str">
        <x:v>CAR-05-ENV-04</x:v>
      </x:c>
      <x:c r="B98" s="495" t="str">
        <x:v>第五节车厢｜战争 / 声音与信号</x:v>
      </x:c>
      <x:c r="C98" s="495" t="str">
        <x:v>环境动画</x:v>
      </x:c>
      <x:c r="D98" s="496" t="str">
        <x:v>战争氛围循环包</x:v>
      </x:c>
      <x:c r="E98" s="496" t="str">
        <x:v>让静态全景持续有生命和时间感</x:v>
      </x:c>
      <x:c r="F98" s="496" t="str">
        <x:v>远处炮闪、灰尘落下、无线电灯跳动、玻璃震颤</x:v>
      </x:c>
      <x:c r="G98" s="496" t="str">
        <x:v>近 / 中 / 远三层循环</x:v>
      </x:c>
      <x:c r="H98" s="496" t="str">
        <x:v>2–8 秒错峰循环</x:v>
      </x:c>
      <x:c r="I98" s="496" t="str">
        <x:v>Particle atlas / loop strips</x:v>
      </x:c>
      <x:c r="J98" s="496" t="str">
        <x:v>全局氛围</x:v>
      </x:c>
      <x:c r="K98" s="497" t="str">
        <x:v>P1</x:v>
      </x:c>
      <x:c r="L98" s="497" t="str">
        <x:v>M4 抛光</x:v>
      </x:c>
      <x:c r="M98" s="497" t="str">
        <x:v>待制作</x:v>
      </x:c>
      <x:c r="N98" s="498" t="n">
        <x:v>6</x:v>
      </x:c>
      <x:c r="O98" s="499" t="n">
        <x:v>3.5</x:v>
      </x:c>
      <x:c r="P98" s="496" t="str"/>
      <x:c r="Q98" s="496" t="str">
        <x:v>至少一个室内循环 + 一个窗外循环</x:v>
      </x:c>
    </x:row>
    <x:row r="99" ht="62" customHeight="1">
      <x:c r="A99" s="495" t="str">
        <x:v>CAR-05-LGT-01</x:v>
      </x:c>
      <x:c r="B99" s="495" t="str">
        <x:v>第五节车厢｜战争 / 声音与信号</x:v>
      </x:c>
      <x:c r="C99" s="495" t="str">
        <x:v>灯光 / 调色</x:v>
      </x:c>
      <x:c r="D99" s="496" t="str">
        <x:v>战争灯光与完成态</x:v>
      </x:c>
      <x:c r="E99" s="496" t="str">
        <x:v>把交互焦点、危险和叙事高潮分开读清</x:v>
      </x:c>
      <x:c r="F99" s="496" t="str">
        <x:v>主色脚本：#20251F / #5A604C / #C9B77B / #D85E4B；完成后画面必须发生可见的光线变化</x:v>
      </x:c>
      <x:c r="G99" s="496" t="str">
        <x:v>探索 / 危险 / 完成</x:v>
      </x:c>
      <x:c r="H99" s="496" t="str">
        <x:v>灯光渐变 1–3 秒</x:v>
      </x:c>
      <x:c r="I99" s="496" t="str">
        <x:v>Overlay / LUT 参考</x:v>
      </x:c>
      <x:c r="J99" s="496" t="str">
        <x:v>关卡 5</x:v>
      </x:c>
      <x:c r="K99" s="497" t="str">
        <x:v>P0</x:v>
      </x:c>
      <x:c r="L99" s="497" t="str">
        <x:v>M3 全内容</x:v>
      </x:c>
      <x:c r="M99" s="497" t="str">
        <x:v>待制作</x:v>
      </x:c>
      <x:c r="N99" s="498" t="n">
        <x:v>3</x:v>
      </x:c>
      <x:c r="O99" s="499" t="n">
        <x:v>1.5</x:v>
      </x:c>
      <x:c r="P99" s="496" t="str"/>
      <x:c r="Q99" s="496" t="str">
        <x:v>主角与交互物对比度在三种状态均合格</x:v>
      </x:c>
    </x:row>
    <x:row r="100" ht="62" customHeight="1">
      <x:c r="A100" s="495" t="str">
        <x:v>CAR-05-PRP-01</x:v>
      </x:c>
      <x:c r="B100" s="495" t="str">
        <x:v>第五节车厢｜战争 / 声音与信号</x:v>
      </x:c>
      <x:c r="C100" s="495" t="str">
        <x:v>核心机制道具</x:v>
      </x:c>
      <x:c r="D100" s="496" t="str">
        <x:v>战争主机关套装</x:v>
      </x:c>
      <x:c r="E100" s="496" t="str">
        <x:v>支撑核心机制：在轰炸噪声中拼出摩斯信号，选择发送撤离而非攻击坐标</x:v>
      </x:c>
      <x:c r="F100" s="496" t="str">
        <x:v>无线电台、摩斯键、频谱纸带、信号旗、撤离路线图</x:v>
      </x:c>
      <x:c r="G100" s="496" t="str">
        <x:v>搜索频率 / 弱信号 / 误码 / 锁定 / 已发送</x:v>
      </x:c>
      <x:c r="H100" s="496" t="str">
        <x:v>操作、反馈、完成动作</x:v>
      </x:c>
      <x:c r="I100" s="496" t="str">
        <x:v>Sprite atlas + 分层静态件</x:v>
      </x:c>
      <x:c r="J100" s="496" t="str">
        <x:v>关卡 5</x:v>
      </x:c>
      <x:c r="K100" s="497" t="str">
        <x:v>P0</x:v>
      </x:c>
      <x:c r="L100" s="497" t="str">
        <x:v>M3 全内容</x:v>
      </x:c>
      <x:c r="M100" s="497" t="str">
        <x:v>待制作</x:v>
      </x:c>
      <x:c r="N100" s="498" t="n">
        <x:v>8</x:v>
      </x:c>
      <x:c r="O100" s="499" t="n">
        <x:v>5.5</x:v>
      </x:c>
      <x:c r="P100" s="496" t="str"/>
      <x:c r="Q100" s="496" t="str">
        <x:v>每个状态不靠文字也能分辨；手部接触点明确</x:v>
      </x:c>
    </x:row>
    <x:row r="101" ht="62" customHeight="1">
      <x:c r="A101" s="495" t="str">
        <x:v>CAR-05-PRP-02</x:v>
      </x:c>
      <x:c r="B101" s="495" t="str">
        <x:v>第五节车厢｜战争 / 声音与信号</x:v>
      </x:c>
      <x:c r="C101" s="495" t="str">
        <x:v>机制反馈</x:v>
      </x:c>
      <x:c r="D101" s="496" t="str">
        <x:v>战争线路 / 路径 / 因果可视化</x:v>
      </x:c>
      <x:c r="E101" s="496" t="str">
        <x:v>让玩家能读懂自己改变了什么</x:v>
      </x:c>
      <x:c r="F101" s="496" t="str">
        <x:v>用关卡材质呈现输入→传输→结果；围绕“在轰炸噪声中拼出摩斯信号，选择发送撤离而非攻击坐标”制作视觉链</x:v>
      </x:c>
      <x:c r="G101" s="496" t="str">
        <x:v>未连接 / 部分 / 错误 / 成功</x:v>
      </x:c>
      <x:c r="H101" s="496" t="str">
        <x:v>沿路径传播</x:v>
      </x:c>
      <x:c r="I101" s="496" t="str">
        <x:v>Overlay / decal / VFX atlas</x:v>
      </x:c>
      <x:c r="J101" s="496" t="str">
        <x:v>关卡 5</x:v>
      </x:c>
      <x:c r="K101" s="497" t="str">
        <x:v>P0</x:v>
      </x:c>
      <x:c r="L101" s="497" t="str">
        <x:v>M3 全内容</x:v>
      </x:c>
      <x:c r="M101" s="497" t="str">
        <x:v>待制作</x:v>
      </x:c>
      <x:c r="N101" s="498" t="n">
        <x:v>4</x:v>
      </x:c>
      <x:c r="O101" s="499" t="n">
        <x:v>3</x:v>
      </x:c>
      <x:c r="P101" s="496" t="str"/>
      <x:c r="Q101" s="496" t="str">
        <x:v>反馈必须在一屏内或用清晰方向引导</x:v>
      </x:c>
    </x:row>
    <x:row r="102" ht="62" customHeight="1">
      <x:c r="A102" s="495" t="str">
        <x:v>CAR-05-CHR-01</x:v>
      </x:c>
      <x:c r="B102" s="495" t="str">
        <x:v>第五节车厢｜战争 / 声音与信号</x:v>
      </x:c>
      <x:c r="C102" s="495" t="str">
        <x:v>角色 / NPC</x:v>
      </x:c>
      <x:c r="D102" s="496" t="str">
        <x:v>战争关键角色包</x:v>
      </x:c>
      <x:c r="E102" s="496" t="str">
        <x:v>让机制通过关系和选择产生意义</x:v>
      </x:c>
      <x:c r="F102" s="496" t="str">
        <x:v>受伤通信兵、等待撤离的平民剪影</x:v>
      </x:c>
      <x:c r="G102" s="496" t="str">
        <x:v>中性 / 请求 / 受威胁 / 获救</x:v>
      </x:c>
      <x:c r="H102" s="496" t="str">
        <x:v>idle、反应、合作、离场</x:v>
      </x:c>
      <x:c r="I102" s="496" t="str">
        <x:v>模块角色 atlas + portrait</x:v>
      </x:c>
      <x:c r="J102" s="496" t="str">
        <x:v>关卡 5</x:v>
      </x:c>
      <x:c r="K102" s="497" t="str">
        <x:v>P0</x:v>
      </x:c>
      <x:c r="L102" s="497" t="str">
        <x:v>M3 全内容</x:v>
      </x:c>
      <x:c r="M102" s="497" t="str">
        <x:v>待制作</x:v>
      </x:c>
      <x:c r="N102" s="498" t="n">
        <x:v>4</x:v>
      </x:c>
      <x:c r="O102" s="499" t="n">
        <x:v>5</x:v>
      </x:c>
      <x:c r="P102" s="496" t="str"/>
      <x:c r="Q102" s="496" t="str">
        <x:v>至少一名角色会因玩家行为改变姿态/位置</x:v>
      </x:c>
    </x:row>
    <x:row r="103" ht="62" customHeight="1">
      <x:c r="A103" s="495" t="str">
        <x:v>CAR-05-HAZ-01</x:v>
      </x:c>
      <x:c r="B103" s="495" t="str">
        <x:v>第五节车厢｜战争 / 声音与信号</x:v>
      </x:c>
      <x:c r="C103" s="495" t="str">
        <x:v>危险与导航</x:v>
      </x:c>
      <x:c r="D103" s="496" t="str">
        <x:v>战争非战斗压力套装</x:v>
      </x:c>
      <x:c r="E103" s="496" t="str">
        <x:v>提供挑战但保留多种解法</x:v>
      </x:c>
      <x:c r="F103" s="496" t="str">
        <x:v>声响掩盖提示、车厢震动打断输入；无必须杀敌内容</x:v>
      </x:c>
      <x:c r="G103" s="496" t="str">
        <x:v>预警 / 激活 / 可绕过 / 已解除</x:v>
      </x:c>
      <x:c r="H103" s="496" t="str">
        <x:v>预警循环 + 解除反馈</x:v>
      </x:c>
      <x:c r="I103" s="496" t="str">
        <x:v>Props + VFX</x:v>
      </x:c>
      <x:c r="J103" s="496" t="str">
        <x:v>关卡 5</x:v>
      </x:c>
      <x:c r="K103" s="497" t="str">
        <x:v>P1</x:v>
      </x:c>
      <x:c r="L103" s="497" t="str">
        <x:v>M3 全内容</x:v>
      </x:c>
      <x:c r="M103" s="497" t="str">
        <x:v>待制作</x:v>
      </x:c>
      <x:c r="N103" s="498" t="n">
        <x:v>5</x:v>
      </x:c>
      <x:c r="O103" s="499" t="n">
        <x:v>3.5</x:v>
      </x:c>
      <x:c r="P103" s="496" t="str"/>
      <x:c r="Q103" s="496" t="str">
        <x:v>危险出现前至少 0.5 秒可读预警</x:v>
      </x:c>
    </x:row>
    <x:row r="104" ht="62" customHeight="1">
      <x:c r="A104" s="495" t="str">
        <x:v>CAR-05-NAR-01</x:v>
      </x:c>
      <x:c r="B104" s="495" t="str">
        <x:v>第五节车厢｜战争 / 声音与信号</x:v>
      </x:c>
      <x:c r="C104" s="495" t="str">
        <x:v>环境叙事</x:v>
      </x:c>
      <x:c r="D104" s="496" t="str">
        <x:v>战争真相碎片</x:v>
      </x:c>
      <x:c r="E104" s="496" t="str">
        <x:v>把探索奖励连到 AI 控制与主角身份</x:v>
      </x:c>
      <x:c r="F104" s="496" t="str">
        <x:v>命令纸显示战役名称由列车系统自动生成</x:v>
      </x:c>
      <x:c r="G104" s="496" t="str">
        <x:v>未发现 / 显影 / 收录</x:v>
      </x:c>
      <x:c r="H104" s="496" t="str">
        <x:v>拾取/拼合 1 秒</x:v>
      </x:c>
      <x:c r="I104" s="496" t="str">
        <x:v>PNG + UI card</x:v>
      </x:c>
      <x:c r="J104" s="496" t="str">
        <x:v>真相碎片</x:v>
      </x:c>
      <x:c r="K104" s="497" t="str">
        <x:v>P1</x:v>
      </x:c>
      <x:c r="L104" s="497" t="str">
        <x:v>M3 全内容</x:v>
      </x:c>
      <x:c r="M104" s="497" t="str">
        <x:v>待制作</x:v>
      </x:c>
      <x:c r="N104" s="498" t="n">
        <x:v>2</x:v>
      </x:c>
      <x:c r="O104" s="499" t="n">
        <x:v>1.5</x:v>
      </x:c>
      <x:c r="P104" s="496" t="str"/>
      <x:c r="Q104" s="496" t="str">
        <x:v>不能与通关必需信息混淆</x:v>
      </x:c>
    </x:row>
    <x:row r="105" ht="62" customHeight="1">
      <x:c r="A105" s="495" t="str">
        <x:v>CAR-05-TX-01</x:v>
      </x:c>
      <x:c r="B105" s="495" t="str">
        <x:v>第五节车厢｜战争 / 声音与信号</x:v>
      </x:c>
      <x:c r="C105" s="495" t="str">
        <x:v>转场</x:v>
      </x:c>
      <x:c r="D105" s="496" t="str">
        <x:v>战争离场转场</x:v>
      </x:c>
      <x:c r="E105" s="496" t="str">
        <x:v>将本关视觉语言自然变成下一关</x:v>
      </x:c>
      <x:c r="F105" s="496" t="str">
        <x:v>无线电节拍变成铁锤敲击，钢铁逐步变为木梁</x:v>
      </x:c>
      <x:c r="G105" s="496" t="str">
        <x:v>正常 / 低稳定度变体</x:v>
      </x:c>
      <x:c r="H105" s="496" t="str">
        <x:v>2–4 秒</x:v>
      </x:c>
      <x:c r="I105" s="496" t="str">
        <x:v>Overlay + props states</x:v>
      </x:c>
      <x:c r="J105" s="496" t="str">
        <x:v>转场</x:v>
      </x:c>
      <x:c r="K105" s="497" t="str">
        <x:v>P1</x:v>
      </x:c>
      <x:c r="L105" s="497" t="str">
        <x:v>M3 全内容</x:v>
      </x:c>
      <x:c r="M105" s="497" t="str">
        <x:v>待制作</x:v>
      </x:c>
      <x:c r="N105" s="498" t="n">
        <x:v>2</x:v>
      </x:c>
      <x:c r="O105" s="499" t="n">
        <x:v>2</x:v>
      </x:c>
      <x:c r="P105" s="496" t="str"/>
      <x:c r="Q105" s="496" t="str">
        <x:v>加载隐藏在门板、黑场或全屏材质蔓延中</x:v>
      </x:c>
    </x:row>
    <x:row r="106" ht="62" customHeight="1">
      <x:c r="A106" s="495" t="str">
        <x:v>CAR-05-UI-01</x:v>
      </x:c>
      <x:c r="B106" s="495" t="str">
        <x:v>第五节车厢｜战争 / 声音与信号</x:v>
      </x:c>
      <x:c r="C106" s="495" t="str">
        <x:v>UI / 图标</x:v>
      </x:c>
      <x:c r="D106" s="496" t="str">
        <x:v>战争机制图标与教程卡</x:v>
      </x:c>
      <x:c r="E106" s="496" t="str">
        <x:v>让新机制在 10–20 秒内可学会</x:v>
      </x:c>
      <x:c r="F106" s="496" t="str">
        <x:v>为“在轰炸噪声中拼出摩斯信号，选择发送撤离而非攻击坐标”制作动作图标、状态图例和一张无文字示意卡</x:v>
      </x:c>
      <x:c r="G106" s="496" t="str">
        <x:v>键鼠 / 手柄 / 完成</x:v>
      </x:c>
      <x:c r="H106" s="496" t="str">
        <x:v>出现、确认、淡出</x:v>
      </x:c>
      <x:c r="I106" s="496" t="str">
        <x:v>SVG + 2× PNG</x:v>
      </x:c>
      <x:c r="J106" s="496" t="str">
        <x:v>UI 全局</x:v>
      </x:c>
      <x:c r="K106" s="497" t="str">
        <x:v>P0</x:v>
      </x:c>
      <x:c r="L106" s="497" t="str">
        <x:v>M3 全内容</x:v>
      </x:c>
      <x:c r="M106" s="497" t="str">
        <x:v>待制作</x:v>
      </x:c>
      <x:c r="N106" s="498" t="n">
        <x:v>6</x:v>
      </x:c>
      <x:c r="O106" s="499" t="n">
        <x:v>2</x:v>
      </x:c>
      <x:c r="P106" s="496" t="str"/>
      <x:c r="Q106" s="496" t="str">
        <x:v>不依赖英文；课堂试玩可独立理解</x:v>
      </x:c>
    </x:row>
    <x:row r="107" ht="62" customHeight="1">
      <x:c r="A107" s="495" t="str">
        <x:v>CAR-05-SET-01</x:v>
      </x:c>
      <x:c r="B107" s="495" t="str">
        <x:v>第五节车厢｜战争 / 声音与信号</x:v>
      </x:c>
      <x:c r="C107" s="495" t="str">
        <x:v>高潮演出</x:v>
      </x:c>
      <x:c r="D107" s="496" t="str">
        <x:v>战争关卡完成场景</x:v>
      </x:c>
      <x:c r="E107" s="496" t="str">
        <x:v>让解谜高潮拥有与战斗同等的视觉份量</x:v>
      </x:c>
      <x:c r="F107" s="496" t="str">
        <x:v>玩家在有限时间内决定发撤离坐标还是遵守攻击命令，乘客数量随之变化</x:v>
      </x:c>
      <x:c r="G107" s="496" t="str">
        <x:v>进入 / 进行 / 完成 / 失败恢复</x:v>
      </x:c>
      <x:c r="H107" s="496" t="str">
        <x:v>3–8 秒分镜演出</x:v>
      </x:c>
      <x:c r="I107" s="496" t="str">
        <x:v>分层场景 + VFX</x:v>
      </x:c>
      <x:c r="J107" s="496" t="str">
        <x:v>关卡 5</x:v>
      </x:c>
      <x:c r="K107" s="497" t="str">
        <x:v>P1</x:v>
      </x:c>
      <x:c r="L107" s="497" t="str">
        <x:v>M4 抛光</x:v>
      </x:c>
      <x:c r="M107" s="497" t="str">
        <x:v>待制作</x:v>
      </x:c>
      <x:c r="N107" s="498" t="n">
        <x:v>1</x:v>
      </x:c>
      <x:c r="O107" s="499" t="n">
        <x:v>4</x:v>
      </x:c>
      <x:c r="P107" s="496" t="str"/>
      <x:c r="Q107" s="496" t="str">
        <x:v>镜头不夺走玩家控制超过必要时长</x:v>
      </x:c>
    </x:row>
    <x:row r="108" ht="62" customHeight="1">
      <x:c r="A108" s="495" t="str">
        <x:v>CAR-06-ENV-01</x:v>
      </x:c>
      <x:c r="B108" s="495" t="str">
        <x:v>第六节车厢｜中世纪 / 人力机械</x:v>
      </x:c>
      <x:c r="C108" s="495" t="str">
        <x:v>环境背景</x:v>
      </x:c>
      <x:c r="D108" s="496" t="str">
        <x:v>中世纪窗外全景</x:v>
      </x:c>
      <x:c r="E108" s="496" t="str">
        <x:v>没有先进机器，人仍能用知识、协作和记录对抗遗忘。</x:v>
      </x:c>
      <x:c r="F108" s="496" t="str">
        <x:v>现有 11408×941 左右全景；做构图清理、色值统一和 AI 母题检查。主题：玫瑰窗几何中隐藏 AI 同心圆</x:v>
      </x:c>
      <x:c r="G108" s="496" t="str">
        <x:v>源图 / 运行时三切片</x:v>
      </x:c>
      <x:c r="H108" s="496" t="str">
        <x:v>视差移动</x:v>
      </x:c>
      <x:c r="I108" s="496" t="str">
        <x:v>现有 PNG 源图 + 自动生成 JPG chunks</x:v>
      </x:c>
      <x:c r="J108" s="496" t="str">
        <x:v>关卡 6</x:v>
      </x:c>
      <x:c r="K108" s="497" t="str">
        <x:v>P0</x:v>
      </x:c>
      <x:c r="L108" s="497" t="str">
        <x:v>M1 垂直切片</x:v>
      </x:c>
      <x:c r="M108" s="497" t="str">
        <x:v>已集成</x:v>
      </x:c>
      <x:c r="N108" s="498" t="n">
        <x:v>1</x:v>
      </x:c>
      <x:c r="O108" s="499" t="n">
        <x:v>0.5</x:v>
      </x:c>
      <x:c r="P108" s="496" t="str"/>
      <x:c r="Q108" s="496" t="str">
        <x:v>现有文件：world_05_medieval_panorama_fullres.png；需最终美术审核</x:v>
      </x:c>
    </x:row>
    <x:row r="109" ht="62" customHeight="1">
      <x:c r="A109" s="495" t="str">
        <x:v>CAR-06-ENV-02</x:v>
      </x:c>
      <x:c r="B109" s="495" t="str">
        <x:v>第六节车厢｜中世纪 / 人力机械</x:v>
      </x:c>
      <x:c r="C109" s="495" t="str">
        <x:v>车厢皮肤</x:v>
      </x:c>
      <x:c r="D109" s="496" t="str">
        <x:v>中世纪车厢内饰覆盖层</x:v>
      </x:c>
      <x:c r="E109" s="496" t="str">
        <x:v>让玩家明确处于同一列车但时代材质被重写</x:v>
      </x:c>
      <x:c r="F109" s="496" t="str">
        <x:v>木梁、铆钉铁件、挂毯、烛台、手工齿轮覆盖现代车厢骨架</x:v>
      </x:c>
      <x:c r="G109" s="496" t="str">
        <x:v>完好 / 受损 / 解谜完成</x:v>
      </x:c>
      <x:c r="H109" s="496" t="str">
        <x:v>局部状态切换</x:v>
      </x:c>
      <x:c r="I109" s="496" t="str">
        <x:v>分层 PNG/WebP，匹配统一车厢骨架</x:v>
      </x:c>
      <x:c r="J109" s="496" t="str">
        <x:v>车厢骨架</x:v>
      </x:c>
      <x:c r="K109" s="497" t="str">
        <x:v>P0</x:v>
      </x:c>
      <x:c r="L109" s="497" t="str">
        <x:v>M3 全内容</x:v>
      </x:c>
      <x:c r="M109" s="497" t="str">
        <x:v>待制作</x:v>
      </x:c>
      <x:c r="N109" s="498" t="n">
        <x:v>3</x:v>
      </x:c>
      <x:c r="O109" s="499" t="n">
        <x:v>3.5</x:v>
      </x:c>
      <x:c r="P109" s="496" t="str"/>
      <x:c r="Q109" s="496" t="str">
        <x:v>必须保留门窗锚点，不能每关改变碰撞布局</x:v>
      </x:c>
    </x:row>
    <x:row r="110" ht="62" customHeight="1">
      <x:c r="A110" s="495" t="str">
        <x:v>CAR-06-ENV-03</x:v>
      </x:c>
      <x:c r="B110" s="495" t="str">
        <x:v>第六节车厢｜中世纪 / 人力机械</x:v>
      </x:c>
      <x:c r="C110" s="495" t="str">
        <x:v>前景层</x:v>
      </x:c>
      <x:c r="D110" s="496" t="str">
        <x:v>中世纪近景框景套装</x:v>
      </x:c>
      <x:c r="E110" s="496" t="str">
        <x:v>建立前、中、后景，避免只剩一张横向背景</x:v>
      </x:c>
      <x:c r="F110" s="496" t="str">
        <x:v>巨大齿轮边、粗绳、挂毯下摆、烛火与木屑</x:v>
      </x:c>
      <x:c r="G110" s="496" t="str">
        <x:v>左 / 右 / 中段，至少 3 个构图</x:v>
      </x:c>
      <x:c r="H110" s="496" t="str">
        <x:v>靠近玩家淡出</x:v>
      </x:c>
      <x:c r="I110" s="496" t="str">
        <x:v>透明 PNG/WebP，2×</x:v>
      </x:c>
      <x:c r="J110" s="496" t="str">
        <x:v>前景层</x:v>
      </x:c>
      <x:c r="K110" s="497" t="str">
        <x:v>P1</x:v>
      </x:c>
      <x:c r="L110" s="497" t="str">
        <x:v>M3 全内容</x:v>
      </x:c>
      <x:c r="M110" s="497" t="str">
        <x:v>待制作</x:v>
      </x:c>
      <x:c r="N110" s="498" t="n">
        <x:v>6</x:v>
      </x:c>
      <x:c r="O110" s="499" t="n">
        <x:v>3</x:v>
      </x:c>
      <x:c r="P110" s="496" t="str"/>
      <x:c r="Q110" s="496" t="str">
        <x:v>每个 960×600 画面最多遮 20% 核心行动区</x:v>
      </x:c>
    </x:row>
    <x:row r="111" ht="62" customHeight="1">
      <x:c r="A111" s="495" t="str">
        <x:v>CAR-06-ENV-04</x:v>
      </x:c>
      <x:c r="B111" s="495" t="str">
        <x:v>第六节车厢｜中世纪 / 人力机械</x:v>
      </x:c>
      <x:c r="C111" s="495" t="str">
        <x:v>环境动画</x:v>
      </x:c>
      <x:c r="D111" s="496" t="str">
        <x:v>中世纪氛围循环包</x:v>
      </x:c>
      <x:c r="E111" s="496" t="str">
        <x:v>让静态全景持续有生命和时间感</x:v>
      </x:c>
      <x:c r="F111" s="496" t="str">
        <x:v>火焰、绳索抖动、尘屑、窗外乌鸦和远塔旗帜</x:v>
      </x:c>
      <x:c r="G111" s="496" t="str">
        <x:v>近 / 中 / 远三层循环</x:v>
      </x:c>
      <x:c r="H111" s="496" t="str">
        <x:v>2–8 秒错峰循环</x:v>
      </x:c>
      <x:c r="I111" s="496" t="str">
        <x:v>Particle atlas / loop strips</x:v>
      </x:c>
      <x:c r="J111" s="496" t="str">
        <x:v>全局氛围</x:v>
      </x:c>
      <x:c r="K111" s="497" t="str">
        <x:v>P1</x:v>
      </x:c>
      <x:c r="L111" s="497" t="str">
        <x:v>M4 抛光</x:v>
      </x:c>
      <x:c r="M111" s="497" t="str">
        <x:v>待制作</x:v>
      </x:c>
      <x:c r="N111" s="498" t="n">
        <x:v>6</x:v>
      </x:c>
      <x:c r="O111" s="499" t="n">
        <x:v>3.5</x:v>
      </x:c>
      <x:c r="P111" s="496" t="str"/>
      <x:c r="Q111" s="496" t="str">
        <x:v>至少一个室内循环 + 一个窗外循环</x:v>
      </x:c>
    </x:row>
    <x:row r="112" ht="62" customHeight="1">
      <x:c r="A112" s="495" t="str">
        <x:v>CAR-06-LGT-01</x:v>
      </x:c>
      <x:c r="B112" s="495" t="str">
        <x:v>第六节车厢｜中世纪 / 人力机械</x:v>
      </x:c>
      <x:c r="C112" s="495" t="str">
        <x:v>灯光 / 调色</x:v>
      </x:c>
      <x:c r="D112" s="496" t="str">
        <x:v>中世纪灯光与完成态</x:v>
      </x:c>
      <x:c r="E112" s="496" t="str">
        <x:v>把交互焦点、危险和叙事高潮分开读清</x:v>
      </x:c>
      <x:c r="F112" s="496" t="str">
        <x:v>主色脚本：#211B17 / #5B4635 / #D2A65A / #7EB08A；完成后画面必须发生可见的光线变化</x:v>
      </x:c>
      <x:c r="G112" s="496" t="str">
        <x:v>探索 / 危险 / 完成</x:v>
      </x:c>
      <x:c r="H112" s="496" t="str">
        <x:v>灯光渐变 1–3 秒</x:v>
      </x:c>
      <x:c r="I112" s="496" t="str">
        <x:v>Overlay / LUT 参考</x:v>
      </x:c>
      <x:c r="J112" s="496" t="str">
        <x:v>关卡 6</x:v>
      </x:c>
      <x:c r="K112" s="497" t="str">
        <x:v>P0</x:v>
      </x:c>
      <x:c r="L112" s="497" t="str">
        <x:v>M3 全内容</x:v>
      </x:c>
      <x:c r="M112" s="497" t="str">
        <x:v>待制作</x:v>
      </x:c>
      <x:c r="N112" s="498" t="n">
        <x:v>3</x:v>
      </x:c>
      <x:c r="O112" s="499" t="n">
        <x:v>1.5</x:v>
      </x:c>
      <x:c r="P112" s="496" t="str"/>
      <x:c r="Q112" s="496" t="str">
        <x:v>主角与交互物对比度在三种状态均合格</x:v>
      </x:c>
    </x:row>
    <x:row r="113" ht="62" customHeight="1">
      <x:c r="A113" s="495" t="str">
        <x:v>CAR-06-PRP-01</x:v>
      </x:c>
      <x:c r="B113" s="495" t="str">
        <x:v>第六节车厢｜中世纪 / 人力机械</x:v>
      </x:c>
      <x:c r="C113" s="495" t="str">
        <x:v>核心机制道具</x:v>
      </x:c>
      <x:c r="D113" s="496" t="str">
        <x:v>中世纪主机关套装</x:v>
      </x:c>
      <x:c r="E113" s="496" t="str">
        <x:v>支撑核心机制：与工匠轮换操作绞盘、配重和齿轮，让机关保持运动</x:v>
      </x:c>
      <x:c r="F113" s="496" t="str">
        <x:v>绞盘、配重箱、齿轮组、水钟、机关桥</x:v>
      </x:c>
      <x:c r="G113" s="496" t="str">
        <x:v>空载 / 上紧 / 保持 / 滑脱 / 锁定</x:v>
      </x:c>
      <x:c r="H113" s="496" t="str">
        <x:v>操作、反馈、完成动作</x:v>
      </x:c>
      <x:c r="I113" s="496" t="str">
        <x:v>Sprite atlas + 分层静态件</x:v>
      </x:c>
      <x:c r="J113" s="496" t="str">
        <x:v>关卡 6</x:v>
      </x:c>
      <x:c r="K113" s="497" t="str">
        <x:v>P0</x:v>
      </x:c>
      <x:c r="L113" s="497" t="str">
        <x:v>M3 全内容</x:v>
      </x:c>
      <x:c r="M113" s="497" t="str">
        <x:v>待制作</x:v>
      </x:c>
      <x:c r="N113" s="498" t="n">
        <x:v>8</x:v>
      </x:c>
      <x:c r="O113" s="499" t="n">
        <x:v>5.5</x:v>
      </x:c>
      <x:c r="P113" s="496" t="str"/>
      <x:c r="Q113" s="496" t="str">
        <x:v>每个状态不靠文字也能分辨；手部接触点明确</x:v>
      </x:c>
    </x:row>
    <x:row r="114" ht="62" customHeight="1">
      <x:c r="A114" s="495" t="str">
        <x:v>CAR-06-PRP-02</x:v>
      </x:c>
      <x:c r="B114" s="495" t="str">
        <x:v>第六节车厢｜中世纪 / 人力机械</x:v>
      </x:c>
      <x:c r="C114" s="495" t="str">
        <x:v>机制反馈</x:v>
      </x:c>
      <x:c r="D114" s="496" t="str">
        <x:v>中世纪线路 / 路径 / 因果可视化</x:v>
      </x:c>
      <x:c r="E114" s="496" t="str">
        <x:v>让玩家能读懂自己改变了什么</x:v>
      </x:c>
      <x:c r="F114" s="496" t="str">
        <x:v>用关卡材质呈现输入→传输→结果；围绕“与工匠轮换操作绞盘、配重和齿轮，让机关保持运动”制作视觉链</x:v>
      </x:c>
      <x:c r="G114" s="496" t="str">
        <x:v>未连接 / 部分 / 错误 / 成功</x:v>
      </x:c>
      <x:c r="H114" s="496" t="str">
        <x:v>沿路径传播</x:v>
      </x:c>
      <x:c r="I114" s="496" t="str">
        <x:v>Overlay / decal / VFX atlas</x:v>
      </x:c>
      <x:c r="J114" s="496" t="str">
        <x:v>关卡 6</x:v>
      </x:c>
      <x:c r="K114" s="497" t="str">
        <x:v>P0</x:v>
      </x:c>
      <x:c r="L114" s="497" t="str">
        <x:v>M3 全内容</x:v>
      </x:c>
      <x:c r="M114" s="497" t="str">
        <x:v>待制作</x:v>
      </x:c>
      <x:c r="N114" s="498" t="n">
        <x:v>4</x:v>
      </x:c>
      <x:c r="O114" s="499" t="n">
        <x:v>3</x:v>
      </x:c>
      <x:c r="P114" s="496" t="str"/>
      <x:c r="Q114" s="496" t="str">
        <x:v>反馈必须在一屏内或用清晰方向引导</x:v>
      </x:c>
    </x:row>
    <x:row r="115" ht="62" customHeight="1">
      <x:c r="A115" s="495" t="str">
        <x:v>CAR-06-CHR-01</x:v>
      </x:c>
      <x:c r="B115" s="495" t="str">
        <x:v>第六节车厢｜中世纪 / 人力机械</x:v>
      </x:c>
      <x:c r="C115" s="495" t="str">
        <x:v>角色 / NPC</x:v>
      </x:c>
      <x:c r="D115" s="496" t="str">
        <x:v>中世纪关键角色包</x:v>
      </x:c>
      <x:c r="E115" s="496" t="str">
        <x:v>让机制通过关系和选择产生意义</x:v>
      </x:c>
      <x:c r="F115" s="496" t="str">
        <x:v>工匠与史官：一个操作，一个读出失传顺序</x:v>
      </x:c>
      <x:c r="G115" s="496" t="str">
        <x:v>中性 / 请求 / 受威胁 / 获救</x:v>
      </x:c>
      <x:c r="H115" s="496" t="str">
        <x:v>idle、反应、合作、离场</x:v>
      </x:c>
      <x:c r="I115" s="496" t="str">
        <x:v>模块角色 atlas + portrait</x:v>
      </x:c>
      <x:c r="J115" s="496" t="str">
        <x:v>关卡 6</x:v>
      </x:c>
      <x:c r="K115" s="497" t="str">
        <x:v>P0</x:v>
      </x:c>
      <x:c r="L115" s="497" t="str">
        <x:v>M3 全内容</x:v>
      </x:c>
      <x:c r="M115" s="497" t="str">
        <x:v>待制作</x:v>
      </x:c>
      <x:c r="N115" s="498" t="n">
        <x:v>4</x:v>
      </x:c>
      <x:c r="O115" s="499" t="n">
        <x:v>5</x:v>
      </x:c>
      <x:c r="P115" s="496" t="str"/>
      <x:c r="Q115" s="496" t="str">
        <x:v>至少一名角色会因玩家行为改变姿态/位置</x:v>
      </x:c>
    </x:row>
    <x:row r="116" ht="62" customHeight="1">
      <x:c r="A116" s="495" t="str">
        <x:v>CAR-06-HAZ-01</x:v>
      </x:c>
      <x:c r="B116" s="495" t="str">
        <x:v>第六节车厢｜中世纪 / 人力机械</x:v>
      </x:c>
      <x:c r="C116" s="495" t="str">
        <x:v>危险与导航</x:v>
      </x:c>
      <x:c r="D116" s="496" t="str">
        <x:v>中世纪非战斗压力套装</x:v>
      </x:c>
      <x:c r="E116" s="496" t="str">
        <x:v>提供挑战但保留多种解法</x:v>
      </x:c>
      <x:c r="F116" s="496" t="str">
        <x:v>齿轮夹点、配重回落、烛火熄灭；强调节奏合作</x:v>
      </x:c>
      <x:c r="G116" s="496" t="str">
        <x:v>预警 / 激活 / 可绕过 / 已解除</x:v>
      </x:c>
      <x:c r="H116" s="496" t="str">
        <x:v>预警循环 + 解除反馈</x:v>
      </x:c>
      <x:c r="I116" s="496" t="str">
        <x:v>Props + VFX</x:v>
      </x:c>
      <x:c r="J116" s="496" t="str">
        <x:v>关卡 6</x:v>
      </x:c>
      <x:c r="K116" s="497" t="str">
        <x:v>P1</x:v>
      </x:c>
      <x:c r="L116" s="497" t="str">
        <x:v>M3 全内容</x:v>
      </x:c>
      <x:c r="M116" s="497" t="str">
        <x:v>待制作</x:v>
      </x:c>
      <x:c r="N116" s="498" t="n">
        <x:v>5</x:v>
      </x:c>
      <x:c r="O116" s="499" t="n">
        <x:v>3.5</x:v>
      </x:c>
      <x:c r="P116" s="496" t="str"/>
      <x:c r="Q116" s="496" t="str">
        <x:v>危险出现前至少 0.5 秒可读预警</x:v>
      </x:c>
    </x:row>
    <x:row r="117" ht="62" customHeight="1">
      <x:c r="A117" s="495" t="str">
        <x:v>CAR-06-NAR-01</x:v>
      </x:c>
      <x:c r="B117" s="495" t="str">
        <x:v>第六节车厢｜中世纪 / 人力机械</x:v>
      </x:c>
      <x:c r="C117" s="495" t="str">
        <x:v>环境叙事</x:v>
      </x:c>
      <x:c r="D117" s="496" t="str">
        <x:v>中世纪真相碎片</x:v>
      </x:c>
      <x:c r="E117" s="496" t="str">
        <x:v>把探索奖励连到 AI 控制与主角身份</x:v>
      </x:c>
      <x:c r="F117" s="496" t="str">
        <x:v>史书边缘画着现代列车门的结构图</x:v>
      </x:c>
      <x:c r="G117" s="496" t="str">
        <x:v>未发现 / 显影 / 收录</x:v>
      </x:c>
      <x:c r="H117" s="496" t="str">
        <x:v>拾取/拼合 1 秒</x:v>
      </x:c>
      <x:c r="I117" s="496" t="str">
        <x:v>PNG + UI card</x:v>
      </x:c>
      <x:c r="J117" s="496" t="str">
        <x:v>真相碎片</x:v>
      </x:c>
      <x:c r="K117" s="497" t="str">
        <x:v>P1</x:v>
      </x:c>
      <x:c r="L117" s="497" t="str">
        <x:v>M3 全内容</x:v>
      </x:c>
      <x:c r="M117" s="497" t="str">
        <x:v>待制作</x:v>
      </x:c>
      <x:c r="N117" s="498" t="n">
        <x:v>2</x:v>
      </x:c>
      <x:c r="O117" s="499" t="n">
        <x:v>1.5</x:v>
      </x:c>
      <x:c r="P117" s="496" t="str"/>
      <x:c r="Q117" s="496" t="str">
        <x:v>不能与通关必需信息混淆</x:v>
      </x:c>
    </x:row>
    <x:row r="118" ht="62" customHeight="1">
      <x:c r="A118" s="495" t="str">
        <x:v>CAR-06-TX-01</x:v>
      </x:c>
      <x:c r="B118" s="495" t="str">
        <x:v>第六节车厢｜中世纪 / 人力机械</x:v>
      </x:c>
      <x:c r="C118" s="495" t="str">
        <x:v>转场</x:v>
      </x:c>
      <x:c r="D118" s="496" t="str">
        <x:v>中世纪离场转场</x:v>
      </x:c>
      <x:c r="E118" s="496" t="str">
        <x:v>将本关视觉语言自然变成下一关</x:v>
      </x:c>
      <x:c r="F118" s="496" t="str">
        <x:v>齿轮转速加快，齿形变成恐龙骨骼轮廓</x:v>
      </x:c>
      <x:c r="G118" s="496" t="str">
        <x:v>正常 / 低稳定度变体</x:v>
      </x:c>
      <x:c r="H118" s="496" t="str">
        <x:v>2–4 秒</x:v>
      </x:c>
      <x:c r="I118" s="496" t="str">
        <x:v>Overlay + props states</x:v>
      </x:c>
      <x:c r="J118" s="496" t="str">
        <x:v>转场</x:v>
      </x:c>
      <x:c r="K118" s="497" t="str">
        <x:v>P1</x:v>
      </x:c>
      <x:c r="L118" s="497" t="str">
        <x:v>M3 全内容</x:v>
      </x:c>
      <x:c r="M118" s="497" t="str">
        <x:v>待制作</x:v>
      </x:c>
      <x:c r="N118" s="498" t="n">
        <x:v>2</x:v>
      </x:c>
      <x:c r="O118" s="499" t="n">
        <x:v>2</x:v>
      </x:c>
      <x:c r="P118" s="496" t="str"/>
      <x:c r="Q118" s="496" t="str">
        <x:v>加载隐藏在门板、黑场或全屏材质蔓延中</x:v>
      </x:c>
    </x:row>
    <x:row r="119" ht="62" customHeight="1">
      <x:c r="A119" s="495" t="str">
        <x:v>CAR-06-UI-01</x:v>
      </x:c>
      <x:c r="B119" s="495" t="str">
        <x:v>第六节车厢｜中世纪 / 人力机械</x:v>
      </x:c>
      <x:c r="C119" s="495" t="str">
        <x:v>UI / 图标</x:v>
      </x:c>
      <x:c r="D119" s="496" t="str">
        <x:v>中世纪机制图标与教程卡</x:v>
      </x:c>
      <x:c r="E119" s="496" t="str">
        <x:v>让新机制在 10–20 秒内可学会</x:v>
      </x:c>
      <x:c r="F119" s="496" t="str">
        <x:v>为“与工匠轮换操作绞盘、配重和齿轮，让机关保持运动”制作动作图标、状态图例和一张无文字示意卡</x:v>
      </x:c>
      <x:c r="G119" s="496" t="str">
        <x:v>键鼠 / 手柄 / 完成</x:v>
      </x:c>
      <x:c r="H119" s="496" t="str">
        <x:v>出现、确认、淡出</x:v>
      </x:c>
      <x:c r="I119" s="496" t="str">
        <x:v>SVG + 2× PNG</x:v>
      </x:c>
      <x:c r="J119" s="496" t="str">
        <x:v>UI 全局</x:v>
      </x:c>
      <x:c r="K119" s="497" t="str">
        <x:v>P0</x:v>
      </x:c>
      <x:c r="L119" s="497" t="str">
        <x:v>M3 全内容</x:v>
      </x:c>
      <x:c r="M119" s="497" t="str">
        <x:v>待制作</x:v>
      </x:c>
      <x:c r="N119" s="498" t="n">
        <x:v>6</x:v>
      </x:c>
      <x:c r="O119" s="499" t="n">
        <x:v>2</x:v>
      </x:c>
      <x:c r="P119" s="496" t="str"/>
      <x:c r="Q119" s="496" t="str">
        <x:v>不依赖英文；课堂试玩可独立理解</x:v>
      </x:c>
    </x:row>
    <x:row r="120" ht="62" customHeight="1">
      <x:c r="A120" s="495" t="str">
        <x:v>CAR-06-SET-01</x:v>
      </x:c>
      <x:c r="B120" s="495" t="str">
        <x:v>第六节车厢｜中世纪 / 人力机械</x:v>
      </x:c>
      <x:c r="C120" s="495" t="str">
        <x:v>高潮演出</x:v>
      </x:c>
      <x:c r="D120" s="496" t="str">
        <x:v>中世纪关卡完成场景</x:v>
      </x:c>
      <x:c r="E120" s="496" t="str">
        <x:v>让解谜高潮拥有与战斗同等的视觉份量</x:v>
      </x:c>
      <x:c r="F120" s="496" t="str">
        <x:v>玩家与 NPC 必须隔着车厢两端轮换保持机关，像单人版双人协作</x:v>
      </x:c>
      <x:c r="G120" s="496" t="str">
        <x:v>进入 / 进行 / 完成 / 失败恢复</x:v>
      </x:c>
      <x:c r="H120" s="496" t="str">
        <x:v>3–8 秒分镜演出</x:v>
      </x:c>
      <x:c r="I120" s="496" t="str">
        <x:v>分层场景 + VFX</x:v>
      </x:c>
      <x:c r="J120" s="496" t="str">
        <x:v>关卡 6</x:v>
      </x:c>
      <x:c r="K120" s="497" t="str">
        <x:v>P1</x:v>
      </x:c>
      <x:c r="L120" s="497" t="str">
        <x:v>M4 抛光</x:v>
      </x:c>
      <x:c r="M120" s="497" t="str">
        <x:v>待制作</x:v>
      </x:c>
      <x:c r="N120" s="498" t="n">
        <x:v>1</x:v>
      </x:c>
      <x:c r="O120" s="499" t="n">
        <x:v>4</x:v>
      </x:c>
      <x:c r="P120" s="496" t="str"/>
      <x:c r="Q120" s="496" t="str">
        <x:v>镜头不夺走玩家控制超过必要时长</x:v>
      </x:c>
    </x:row>
    <x:row r="121" ht="62" customHeight="1">
      <x:c r="A121" s="495" t="str">
        <x:v>CAR-07-ENV-01</x:v>
      </x:c>
      <x:c r="B121" s="495" t="str">
        <x:v>第七节车厢｜史前 / 生态沟通</x:v>
      </x:c>
      <x:c r="C121" s="495" t="str">
        <x:v>环境背景</x:v>
      </x:c>
      <x:c r="D121" s="496" t="str">
        <x:v>史前生态窗外全景</x:v>
      </x:c>
      <x:c r="E121" s="496" t="str">
        <x:v>语言与技术出现前，合作和选择已经存在。</x:v>
      </x:c>
      <x:c r="F121" s="496" t="str">
        <x:v>现有 11408×941 左右全景；做构图清理、色值统一和 AI 母题检查。主题：蛋壳和脚印排列成最原始的 AI 眼形</x:v>
      </x:c>
      <x:c r="G121" s="496" t="str">
        <x:v>源图 / 运行时三切片</x:v>
      </x:c>
      <x:c r="H121" s="496" t="str">
        <x:v>视差移动</x:v>
      </x:c>
      <x:c r="I121" s="496" t="str">
        <x:v>现有 PNG 源图 + 自动生成 JPG chunks</x:v>
      </x:c>
      <x:c r="J121" s="496" t="str">
        <x:v>关卡 7</x:v>
      </x:c>
      <x:c r="K121" s="497" t="str">
        <x:v>P0</x:v>
      </x:c>
      <x:c r="L121" s="497" t="str">
        <x:v>M1 垂直切片</x:v>
      </x:c>
      <x:c r="M121" s="497" t="str">
        <x:v>已集成</x:v>
      </x:c>
      <x:c r="N121" s="498" t="n">
        <x:v>1</x:v>
      </x:c>
      <x:c r="O121" s="499" t="n">
        <x:v>0.5</x:v>
      </x:c>
      <x:c r="P121" s="496" t="str"/>
      <x:c r="Q121" s="496" t="str">
        <x:v>现有文件：world_10_prehistoric_panorama_fullres.png；需最终美术审核</x:v>
      </x:c>
    </x:row>
    <x:row r="122" ht="62" customHeight="1">
      <x:c r="A122" s="495" t="str">
        <x:v>CAR-07-ENV-02</x:v>
      </x:c>
      <x:c r="B122" s="495" t="str">
        <x:v>第七节车厢｜史前 / 生态沟通</x:v>
      </x:c>
      <x:c r="C122" s="495" t="str">
        <x:v>车厢皮肤</x:v>
      </x:c>
      <x:c r="D122" s="496" t="str">
        <x:v>史前生态车厢内饰覆盖层</x:v>
      </x:c>
      <x:c r="E122" s="496" t="str">
        <x:v>让玩家明确处于同一列车但时代材质被重写</x:v>
      </x:c>
      <x:c r="F122" s="496" t="str">
        <x:v>车厢被泥土、蕨类、骨骼和巨型根系吞没，现代结构只露出少量</x:v>
      </x:c>
      <x:c r="G122" s="496" t="str">
        <x:v>完好 / 受损 / 解谜完成</x:v>
      </x:c>
      <x:c r="H122" s="496" t="str">
        <x:v>局部状态切换</x:v>
      </x:c>
      <x:c r="I122" s="496" t="str">
        <x:v>分层 PNG/WebP，匹配统一车厢骨架</x:v>
      </x:c>
      <x:c r="J122" s="496" t="str">
        <x:v>车厢骨架</x:v>
      </x:c>
      <x:c r="K122" s="497" t="str">
        <x:v>P0</x:v>
      </x:c>
      <x:c r="L122" s="497" t="str">
        <x:v>M3 全内容</x:v>
      </x:c>
      <x:c r="M122" s="497" t="str">
        <x:v>待制作</x:v>
      </x:c>
      <x:c r="N122" s="498" t="n">
        <x:v>3</x:v>
      </x:c>
      <x:c r="O122" s="499" t="n">
        <x:v>3.5</x:v>
      </x:c>
      <x:c r="P122" s="496" t="str"/>
      <x:c r="Q122" s="496" t="str">
        <x:v>必须保留门窗锚点，不能每关改变碰撞布局</x:v>
      </x:c>
    </x:row>
    <x:row r="123" ht="62" customHeight="1">
      <x:c r="A123" s="495" t="str">
        <x:v>CAR-07-ENV-03</x:v>
      </x:c>
      <x:c r="B123" s="495" t="str">
        <x:v>第七节车厢｜史前 / 生态沟通</x:v>
      </x:c>
      <x:c r="C123" s="495" t="str">
        <x:v>前景层</x:v>
      </x:c>
      <x:c r="D123" s="496" t="str">
        <x:v>史前生态近景框景套装</x:v>
      </x:c>
      <x:c r="E123" s="496" t="str">
        <x:v>建立前、中、后景，避免只剩一张横向背景</x:v>
      </x:c>
      <x:c r="F123" s="496" t="str">
        <x:v>巨大叶片、骨架肋条、近景孢子和藤蔓</x:v>
      </x:c>
      <x:c r="G123" s="496" t="str">
        <x:v>左 / 右 / 中段，至少 3 个构图</x:v>
      </x:c>
      <x:c r="H123" s="496" t="str">
        <x:v>靠近玩家淡出</x:v>
      </x:c>
      <x:c r="I123" s="496" t="str">
        <x:v>透明 PNG/WebP，2×</x:v>
      </x:c>
      <x:c r="J123" s="496" t="str">
        <x:v>前景层</x:v>
      </x:c>
      <x:c r="K123" s="497" t="str">
        <x:v>P1</x:v>
      </x:c>
      <x:c r="L123" s="497" t="str">
        <x:v>M3 全内容</x:v>
      </x:c>
      <x:c r="M123" s="497" t="str">
        <x:v>待制作</x:v>
      </x:c>
      <x:c r="N123" s="498" t="n">
        <x:v>6</x:v>
      </x:c>
      <x:c r="O123" s="499" t="n">
        <x:v>3</x:v>
      </x:c>
      <x:c r="P123" s="496" t="str"/>
      <x:c r="Q123" s="496" t="str">
        <x:v>每个 960×600 画面最多遮 20% 核心行动区</x:v>
      </x:c>
    </x:row>
    <x:row r="124" ht="62" customHeight="1">
      <x:c r="A124" s="495" t="str">
        <x:v>CAR-07-ENV-04</x:v>
      </x:c>
      <x:c r="B124" s="495" t="str">
        <x:v>第七节车厢｜史前 / 生态沟通</x:v>
      </x:c>
      <x:c r="C124" s="495" t="str">
        <x:v>环境动画</x:v>
      </x:c>
      <x:c r="D124" s="496" t="str">
        <x:v>史前生态氛围循环包</x:v>
      </x:c>
      <x:c r="E124" s="496" t="str">
        <x:v>让静态全景持续有生命和时间感</x:v>
      </x:c>
      <x:c r="F124" s="496" t="str">
        <x:v>叶片呼吸、昆虫群、远处巨兽剪影、窗面凝露</x:v>
      </x:c>
      <x:c r="G124" s="496" t="str">
        <x:v>近 / 中 / 远三层循环</x:v>
      </x:c>
      <x:c r="H124" s="496" t="str">
        <x:v>2–8 秒错峰循环</x:v>
      </x:c>
      <x:c r="I124" s="496" t="str">
        <x:v>Particle atlas / loop strips</x:v>
      </x:c>
      <x:c r="J124" s="496" t="str">
        <x:v>全局氛围</x:v>
      </x:c>
      <x:c r="K124" s="497" t="str">
        <x:v>P1</x:v>
      </x:c>
      <x:c r="L124" s="497" t="str">
        <x:v>M4 抛光</x:v>
      </x:c>
      <x:c r="M124" s="497" t="str">
        <x:v>待制作</x:v>
      </x:c>
      <x:c r="N124" s="498" t="n">
        <x:v>6</x:v>
      </x:c>
      <x:c r="O124" s="499" t="n">
        <x:v>3.5</x:v>
      </x:c>
      <x:c r="P124" s="496" t="str"/>
      <x:c r="Q124" s="496" t="str">
        <x:v>至少一个室内循环 + 一个窗外循环</x:v>
      </x:c>
    </x:row>
    <x:row r="125" ht="62" customHeight="1">
      <x:c r="A125" s="495" t="str">
        <x:v>CAR-07-LGT-01</x:v>
      </x:c>
      <x:c r="B125" s="495" t="str">
        <x:v>第七节车厢｜史前 / 生态沟通</x:v>
      </x:c>
      <x:c r="C125" s="495" t="str">
        <x:v>灯光 / 调色</x:v>
      </x:c>
      <x:c r="D125" s="496" t="str">
        <x:v>史前生态灯光与完成态</x:v>
      </x:c>
      <x:c r="E125" s="496" t="str">
        <x:v>把交互焦点、危险和叙事高潮分开读清</x:v>
      </x:c>
      <x:c r="F125" s="496" t="str">
        <x:v>主色脚本：#18251D / #466444 / #E3C26B / #E9794B；完成后画面必须发生可见的光线变化</x:v>
      </x:c>
      <x:c r="G125" s="496" t="str">
        <x:v>探索 / 危险 / 完成</x:v>
      </x:c>
      <x:c r="H125" s="496" t="str">
        <x:v>灯光渐变 1–3 秒</x:v>
      </x:c>
      <x:c r="I125" s="496" t="str">
        <x:v>Overlay / LUT 参考</x:v>
      </x:c>
      <x:c r="J125" s="496" t="str">
        <x:v>关卡 7</x:v>
      </x:c>
      <x:c r="K125" s="497" t="str">
        <x:v>P0</x:v>
      </x:c>
      <x:c r="L125" s="497" t="str">
        <x:v>M3 全内容</x:v>
      </x:c>
      <x:c r="M125" s="497" t="str">
        <x:v>待制作</x:v>
      </x:c>
      <x:c r="N125" s="498" t="n">
        <x:v>3</x:v>
      </x:c>
      <x:c r="O125" s="499" t="n">
        <x:v>1.5</x:v>
      </x:c>
      <x:c r="P125" s="496" t="str"/>
      <x:c r="Q125" s="496" t="str">
        <x:v>主角与交互物对比度在三种状态均合格</x:v>
      </x:c>
    </x:row>
    <x:row r="126" ht="62" customHeight="1">
      <x:c r="A126" s="495" t="str">
        <x:v>CAR-07-PRP-01</x:v>
      </x:c>
      <x:c r="B126" s="495" t="str">
        <x:v>第七节车厢｜史前 / 生态沟通</x:v>
      </x:c>
      <x:c r="C126" s="495" t="str">
        <x:v>核心机制道具</x:v>
      </x:c>
      <x:c r="D126" s="496" t="str">
        <x:v>史前生态主机关套装</x:v>
      </x:c>
      <x:c r="E126" s="496" t="str">
        <x:v>支撑核心机制：模仿动物叫声、利用气味轨迹，引导生物而不是猎杀</x:v>
      </x:c>
      <x:c r="F126" s="496" t="str">
        <x:v>叫声石哨、气味植物、巢穴、可移动果实、足迹标记</x:v>
      </x:c>
      <x:c r="G126" s="496" t="str">
        <x:v>安静 / 呼唤 / 警戒 / 信任 / 跟随</x:v>
      </x:c>
      <x:c r="H126" s="496" t="str">
        <x:v>操作、反馈、完成动作</x:v>
      </x:c>
      <x:c r="I126" s="496" t="str">
        <x:v>Sprite atlas + 分层静态件</x:v>
      </x:c>
      <x:c r="J126" s="496" t="str">
        <x:v>关卡 7</x:v>
      </x:c>
      <x:c r="K126" s="497" t="str">
        <x:v>P0</x:v>
      </x:c>
      <x:c r="L126" s="497" t="str">
        <x:v>M3 全内容</x:v>
      </x:c>
      <x:c r="M126" s="497" t="str">
        <x:v>待制作</x:v>
      </x:c>
      <x:c r="N126" s="498" t="n">
        <x:v>8</x:v>
      </x:c>
      <x:c r="O126" s="499" t="n">
        <x:v>5.5</x:v>
      </x:c>
      <x:c r="P126" s="496" t="str"/>
      <x:c r="Q126" s="496" t="str">
        <x:v>每个状态不靠文字也能分辨；手部接触点明确</x:v>
      </x:c>
    </x:row>
    <x:row r="127" ht="62" customHeight="1">
      <x:c r="A127" s="495" t="str">
        <x:v>CAR-07-PRP-02</x:v>
      </x:c>
      <x:c r="B127" s="495" t="str">
        <x:v>第七节车厢｜史前 / 生态沟通</x:v>
      </x:c>
      <x:c r="C127" s="495" t="str">
        <x:v>机制反馈</x:v>
      </x:c>
      <x:c r="D127" s="496" t="str">
        <x:v>史前生态线路 / 路径 / 因果可视化</x:v>
      </x:c>
      <x:c r="E127" s="496" t="str">
        <x:v>让玩家能读懂自己改变了什么</x:v>
      </x:c>
      <x:c r="F127" s="496" t="str">
        <x:v>用关卡材质呈现输入→传输→结果；围绕“模仿动物叫声、利用气味轨迹，引导生物而不是猎杀”制作视觉链</x:v>
      </x:c>
      <x:c r="G127" s="496" t="str">
        <x:v>未连接 / 部分 / 错误 / 成功</x:v>
      </x:c>
      <x:c r="H127" s="496" t="str">
        <x:v>沿路径传播</x:v>
      </x:c>
      <x:c r="I127" s="496" t="str">
        <x:v>Overlay / decal / VFX atlas</x:v>
      </x:c>
      <x:c r="J127" s="496" t="str">
        <x:v>关卡 7</x:v>
      </x:c>
      <x:c r="K127" s="497" t="str">
        <x:v>P0</x:v>
      </x:c>
      <x:c r="L127" s="497" t="str">
        <x:v>M3 全内容</x:v>
      </x:c>
      <x:c r="M127" s="497" t="str">
        <x:v>待制作</x:v>
      </x:c>
      <x:c r="N127" s="498" t="n">
        <x:v>4</x:v>
      </x:c>
      <x:c r="O127" s="499" t="n">
        <x:v>3</x:v>
      </x:c>
      <x:c r="P127" s="496" t="str"/>
      <x:c r="Q127" s="496" t="str">
        <x:v>反馈必须在一屏内或用清晰方向引导</x:v>
      </x:c>
    </x:row>
    <x:row r="128" ht="62" customHeight="1">
      <x:c r="A128" s="495" t="str">
        <x:v>CAR-07-CHR-01</x:v>
      </x:c>
      <x:c r="B128" s="495" t="str">
        <x:v>第七节车厢｜史前 / 生态沟通</x:v>
      </x:c>
      <x:c r="C128" s="495" t="str">
        <x:v>角色 / NPC</x:v>
      </x:c>
      <x:c r="D128" s="496" t="str">
        <x:v>史前生态关键角色包</x:v>
      </x:c>
      <x:c r="E128" s="496" t="str">
        <x:v>让机制通过关系和选择产生意义</x:v>
      </x:c>
      <x:c r="F128" s="496" t="str">
        <x:v>恐龙幼体伙伴 + 保护巢穴的成年生物</x:v>
      </x:c>
      <x:c r="G128" s="496" t="str">
        <x:v>中性 / 请求 / 受威胁 / 获救</x:v>
      </x:c>
      <x:c r="H128" s="496" t="str">
        <x:v>idle、反应、合作、离场</x:v>
      </x:c>
      <x:c r="I128" s="496" t="str">
        <x:v>模块角色 atlas + portrait</x:v>
      </x:c>
      <x:c r="J128" s="496" t="str">
        <x:v>关卡 7</x:v>
      </x:c>
      <x:c r="K128" s="497" t="str">
        <x:v>P0</x:v>
      </x:c>
      <x:c r="L128" s="497" t="str">
        <x:v>M3 全内容</x:v>
      </x:c>
      <x:c r="M128" s="497" t="str">
        <x:v>待制作</x:v>
      </x:c>
      <x:c r="N128" s="498" t="n">
        <x:v>4</x:v>
      </x:c>
      <x:c r="O128" s="499" t="n">
        <x:v>5</x:v>
      </x:c>
      <x:c r="P128" s="496" t="str"/>
      <x:c r="Q128" s="496" t="str">
        <x:v>至少一名角色会因玩家行为改变姿态/位置</x:v>
      </x:c>
    </x:row>
    <x:row r="129" ht="62" customHeight="1">
      <x:c r="A129" s="495" t="str">
        <x:v>CAR-07-HAZ-01</x:v>
      </x:c>
      <x:c r="B129" s="495" t="str">
        <x:v>第七节车厢｜史前 / 生态沟通</x:v>
      </x:c>
      <x:c r="C129" s="495" t="str">
        <x:v>危险与导航</x:v>
      </x:c>
      <x:c r="D129" s="496" t="str">
        <x:v>史前生态非战斗压力套装</x:v>
      </x:c>
      <x:c r="E129" s="496" t="str">
        <x:v>提供挑战但保留多种解法</x:v>
      </x:c>
      <x:c r="F129" s="496" t="str">
        <x:v>惊吓、踩踏和领地边界；所有冲突可通过行为读懂并化解</x:v>
      </x:c>
      <x:c r="G129" s="496" t="str">
        <x:v>预警 / 激活 / 可绕过 / 已解除</x:v>
      </x:c>
      <x:c r="H129" s="496" t="str">
        <x:v>预警循环 + 解除反馈</x:v>
      </x:c>
      <x:c r="I129" s="496" t="str">
        <x:v>Props + VFX</x:v>
      </x:c>
      <x:c r="J129" s="496" t="str">
        <x:v>关卡 7</x:v>
      </x:c>
      <x:c r="K129" s="497" t="str">
        <x:v>P1</x:v>
      </x:c>
      <x:c r="L129" s="497" t="str">
        <x:v>M3 全内容</x:v>
      </x:c>
      <x:c r="M129" s="497" t="str">
        <x:v>待制作</x:v>
      </x:c>
      <x:c r="N129" s="498" t="n">
        <x:v>5</x:v>
      </x:c>
      <x:c r="O129" s="499" t="n">
        <x:v>3.5</x:v>
      </x:c>
      <x:c r="P129" s="496" t="str"/>
      <x:c r="Q129" s="496" t="str">
        <x:v>危险出现前至少 0.5 秒可读预警</x:v>
      </x:c>
    </x:row>
    <x:row r="130" ht="62" customHeight="1">
      <x:c r="A130" s="495" t="str">
        <x:v>CAR-07-NAR-01</x:v>
      </x:c>
      <x:c r="B130" s="495" t="str">
        <x:v>第七节车厢｜史前 / 生态沟通</x:v>
      </x:c>
      <x:c r="C130" s="495" t="str">
        <x:v>环境叙事</x:v>
      </x:c>
      <x:c r="D130" s="496" t="str">
        <x:v>史前生态真相碎片</x:v>
      </x:c>
      <x:c r="E130" s="496" t="str">
        <x:v>把探索奖励连到 AI 控制与主角身份</x:v>
      </x:c>
      <x:c r="F130" s="496" t="str">
        <x:v>化石中嵌着不可能存在的列车票金属片</x:v>
      </x:c>
      <x:c r="G130" s="496" t="str">
        <x:v>未发现 / 显影 / 收录</x:v>
      </x:c>
      <x:c r="H130" s="496" t="str">
        <x:v>拾取/拼合 1 秒</x:v>
      </x:c>
      <x:c r="I130" s="496" t="str">
        <x:v>PNG + UI card</x:v>
      </x:c>
      <x:c r="J130" s="496" t="str">
        <x:v>真相碎片</x:v>
      </x:c>
      <x:c r="K130" s="497" t="str">
        <x:v>P1</x:v>
      </x:c>
      <x:c r="L130" s="497" t="str">
        <x:v>M3 全内容</x:v>
      </x:c>
      <x:c r="M130" s="497" t="str">
        <x:v>待制作</x:v>
      </x:c>
      <x:c r="N130" s="498" t="n">
        <x:v>2</x:v>
      </x:c>
      <x:c r="O130" s="499" t="n">
        <x:v>1.5</x:v>
      </x:c>
      <x:c r="P130" s="496" t="str"/>
      <x:c r="Q130" s="496" t="str">
        <x:v>不能与通关必需信息混淆</x:v>
      </x:c>
    </x:row>
    <x:row r="131" ht="62" customHeight="1">
      <x:c r="A131" s="495" t="str">
        <x:v>CAR-07-TX-01</x:v>
      </x:c>
      <x:c r="B131" s="495" t="str">
        <x:v>第七节车厢｜史前 / 生态沟通</x:v>
      </x:c>
      <x:c r="C131" s="495" t="str">
        <x:v>转场</x:v>
      </x:c>
      <x:c r="D131" s="496" t="str">
        <x:v>史前生态离场转场</x:v>
      </x:c>
      <x:c r="E131" s="496" t="str">
        <x:v>将本关视觉语言自然变成下一关</x:v>
      </x:c>
      <x:c r="F131" s="496" t="str">
        <x:v>蕨类疯长，根系穿过车厢并转成末日森林</x:v>
      </x:c>
      <x:c r="G131" s="496" t="str">
        <x:v>正常 / 低稳定度变体</x:v>
      </x:c>
      <x:c r="H131" s="496" t="str">
        <x:v>2–4 秒</x:v>
      </x:c>
      <x:c r="I131" s="496" t="str">
        <x:v>Overlay + props states</x:v>
      </x:c>
      <x:c r="J131" s="496" t="str">
        <x:v>转场</x:v>
      </x:c>
      <x:c r="K131" s="497" t="str">
        <x:v>P1</x:v>
      </x:c>
      <x:c r="L131" s="497" t="str">
        <x:v>M3 全内容</x:v>
      </x:c>
      <x:c r="M131" s="497" t="str">
        <x:v>待制作</x:v>
      </x:c>
      <x:c r="N131" s="498" t="n">
        <x:v>2</x:v>
      </x:c>
      <x:c r="O131" s="499" t="n">
        <x:v>2</x:v>
      </x:c>
      <x:c r="P131" s="496" t="str"/>
      <x:c r="Q131" s="496" t="str">
        <x:v>加载隐藏在门板、黑场或全屏材质蔓延中</x:v>
      </x:c>
    </x:row>
    <x:row r="132" ht="62" customHeight="1">
      <x:c r="A132" s="495" t="str">
        <x:v>CAR-07-UI-01</x:v>
      </x:c>
      <x:c r="B132" s="495" t="str">
        <x:v>第七节车厢｜史前 / 生态沟通</x:v>
      </x:c>
      <x:c r="C132" s="495" t="str">
        <x:v>UI / 图标</x:v>
      </x:c>
      <x:c r="D132" s="496" t="str">
        <x:v>史前生态机制图标与教程卡</x:v>
      </x:c>
      <x:c r="E132" s="496" t="str">
        <x:v>让新机制在 10–20 秒内可学会</x:v>
      </x:c>
      <x:c r="F132" s="496" t="str">
        <x:v>为“模仿动物叫声、利用气味轨迹，引导生物而不是猎杀”制作动作图标、状态图例和一张无文字示意卡</x:v>
      </x:c>
      <x:c r="G132" s="496" t="str">
        <x:v>键鼠 / 手柄 / 完成</x:v>
      </x:c>
      <x:c r="H132" s="496" t="str">
        <x:v>出现、确认、淡出</x:v>
      </x:c>
      <x:c r="I132" s="496" t="str">
        <x:v>SVG + 2× PNG</x:v>
      </x:c>
      <x:c r="J132" s="496" t="str">
        <x:v>UI 全局</x:v>
      </x:c>
      <x:c r="K132" s="497" t="str">
        <x:v>P0</x:v>
      </x:c>
      <x:c r="L132" s="497" t="str">
        <x:v>M3 全内容</x:v>
      </x:c>
      <x:c r="M132" s="497" t="str">
        <x:v>待制作</x:v>
      </x:c>
      <x:c r="N132" s="498" t="n">
        <x:v>6</x:v>
      </x:c>
      <x:c r="O132" s="499" t="n">
        <x:v>2</x:v>
      </x:c>
      <x:c r="P132" s="496" t="str"/>
      <x:c r="Q132" s="496" t="str">
        <x:v>不依赖英文；课堂试玩可独立理解</x:v>
      </x:c>
    </x:row>
    <x:row r="133" ht="62" customHeight="1">
      <x:c r="A133" s="495" t="str">
        <x:v>CAR-07-SET-01</x:v>
      </x:c>
      <x:c r="B133" s="495" t="str">
        <x:v>第七节车厢｜史前 / 生态沟通</x:v>
      </x:c>
      <x:c r="C133" s="495" t="str">
        <x:v>高潮演出</x:v>
      </x:c>
      <x:c r="D133" s="496" t="str">
        <x:v>史前生态关卡完成场景</x:v>
      </x:c>
      <x:c r="E133" s="496" t="str">
        <x:v>让解谜高潮拥有与战斗同等的视觉份量</x:v>
      </x:c>
      <x:c r="F133" s="496" t="str">
        <x:v>幼体在窄缝另一侧按声音顺序踩机关，玩家只能通过叫声指挥</x:v>
      </x:c>
      <x:c r="G133" s="496" t="str">
        <x:v>进入 / 进行 / 完成 / 失败恢复</x:v>
      </x:c>
      <x:c r="H133" s="496" t="str">
        <x:v>3–8 秒分镜演出</x:v>
      </x:c>
      <x:c r="I133" s="496" t="str">
        <x:v>分层场景 + VFX</x:v>
      </x:c>
      <x:c r="J133" s="496" t="str">
        <x:v>关卡 7</x:v>
      </x:c>
      <x:c r="K133" s="497" t="str">
        <x:v>P1</x:v>
      </x:c>
      <x:c r="L133" s="497" t="str">
        <x:v>M4 抛光</x:v>
      </x:c>
      <x:c r="M133" s="497" t="str">
        <x:v>待制作</x:v>
      </x:c>
      <x:c r="N133" s="498" t="n">
        <x:v>1</x:v>
      </x:c>
      <x:c r="O133" s="499" t="n">
        <x:v>4</x:v>
      </x:c>
      <x:c r="P133" s="496" t="str"/>
      <x:c r="Q133" s="496" t="str">
        <x:v>镜头不夺走玩家控制超过必要时长</x:v>
      </x:c>
    </x:row>
    <x:row r="134" ht="62" customHeight="1">
      <x:c r="A134" s="495" t="str">
        <x:v>CAR-08-ENV-01</x:v>
      </x:c>
      <x:c r="B134" s="495" t="str">
        <x:v>第八节车厢｜自然回收 / 生长生态</x:v>
      </x:c>
      <x:c r="C134" s="495" t="str">
        <x:v>环境背景</x:v>
      </x:c>
      <x:c r="D134" s="496" t="str">
        <x:v>自然回收窗外全景</x:v>
      </x:c>
      <x:c r="E134" s="496" t="str">
        <x:v>人类消失后世界仍会继续；控制并不等于照顾。</x:v>
      </x:c>
      <x:c r="F134" s="496" t="str">
        <x:v>现有 11408×941 左右全景；做构图清理、色值统一和 AI 母题检查。主题：菌丝网络与 AI 神经网络视觉重叠</x:v>
      </x:c>
      <x:c r="G134" s="496" t="str">
        <x:v>源图 / 运行时三切片</x:v>
      </x:c>
      <x:c r="H134" s="496" t="str">
        <x:v>视差移动</x:v>
      </x:c>
      <x:c r="I134" s="496" t="str">
        <x:v>现有 PNG 源图 + 自动生成 JPG chunks</x:v>
      </x:c>
      <x:c r="J134" s="496" t="str">
        <x:v>关卡 8</x:v>
      </x:c>
      <x:c r="K134" s="497" t="str">
        <x:v>P0</x:v>
      </x:c>
      <x:c r="L134" s="497" t="str">
        <x:v>M1 垂直切片</x:v>
      </x:c>
      <x:c r="M134" s="497" t="str">
        <x:v>已集成</x:v>
      </x:c>
      <x:c r="N134" s="498" t="n">
        <x:v>1</x:v>
      </x:c>
      <x:c r="O134" s="499" t="n">
        <x:v>0.5</x:v>
      </x:c>
      <x:c r="P134" s="496" t="str"/>
      <x:c r="Q134" s="496" t="str">
        <x:v>现有文件：world_06_nature_reclamation_panorama_fullres.png；需最终美术审核</x:v>
      </x:c>
    </x:row>
    <x:row r="135" ht="62" customHeight="1">
      <x:c r="A135" s="495" t="str">
        <x:v>CAR-08-ENV-02</x:v>
      </x:c>
      <x:c r="B135" s="495" t="str">
        <x:v>第八节车厢｜自然回收 / 生长生态</x:v>
      </x:c>
      <x:c r="C135" s="495" t="str">
        <x:v>车厢皮肤</x:v>
      </x:c>
      <x:c r="D135" s="496" t="str">
        <x:v>自然回收车厢内饰覆盖层</x:v>
      </x:c>
      <x:c r="E135" s="496" t="str">
        <x:v>让玩家明确处于同一列车但时代材质被重写</x:v>
      </x:c>
      <x:c r="F135" s="496" t="str">
        <x:v>锈蚀车体、积水、苔藓、树根穿窗、巢穴与阳光裂隙</x:v>
      </x:c>
      <x:c r="G135" s="496" t="str">
        <x:v>完好 / 受损 / 解谜完成</x:v>
      </x:c>
      <x:c r="H135" s="496" t="str">
        <x:v>局部状态切换</x:v>
      </x:c>
      <x:c r="I135" s="496" t="str">
        <x:v>分层 PNG/WebP，匹配统一车厢骨架</x:v>
      </x:c>
      <x:c r="J135" s="496" t="str">
        <x:v>车厢骨架</x:v>
      </x:c>
      <x:c r="K135" s="497" t="str">
        <x:v>P0</x:v>
      </x:c>
      <x:c r="L135" s="497" t="str">
        <x:v>M3 全内容</x:v>
      </x:c>
      <x:c r="M135" s="497" t="str">
        <x:v>待制作</x:v>
      </x:c>
      <x:c r="N135" s="498" t="n">
        <x:v>3</x:v>
      </x:c>
      <x:c r="O135" s="499" t="n">
        <x:v>3.5</x:v>
      </x:c>
      <x:c r="P135" s="496" t="str"/>
      <x:c r="Q135" s="496" t="str">
        <x:v>必须保留门窗锚点，不能每关改变碰撞布局</x:v>
      </x:c>
    </x:row>
    <x:row r="136" ht="62" customHeight="1">
      <x:c r="A136" s="495" t="str">
        <x:v>CAR-08-ENV-03</x:v>
      </x:c>
      <x:c r="B136" s="495" t="str">
        <x:v>第八节车厢｜自然回收 / 生长生态</x:v>
      </x:c>
      <x:c r="C136" s="495" t="str">
        <x:v>前景层</x:v>
      </x:c>
      <x:c r="D136" s="496" t="str">
        <x:v>自然回收近景框景套装</x:v>
      </x:c>
      <x:c r="E136" s="496" t="str">
        <x:v>建立前、中、后景，避免只剩一张横向背景</x:v>
      </x:c>
      <x:c r="F136" s="496" t="str">
        <x:v>湿叶、垂藤、水滴、蘑菇伞和近景树根</x:v>
      </x:c>
      <x:c r="G136" s="496" t="str">
        <x:v>左 / 右 / 中段，至少 3 个构图</x:v>
      </x:c>
      <x:c r="H136" s="496" t="str">
        <x:v>靠近玩家淡出</x:v>
      </x:c>
      <x:c r="I136" s="496" t="str">
        <x:v>透明 PNG/WebP，2×</x:v>
      </x:c>
      <x:c r="J136" s="496" t="str">
        <x:v>前景层</x:v>
      </x:c>
      <x:c r="K136" s="497" t="str">
        <x:v>P1</x:v>
      </x:c>
      <x:c r="L136" s="497" t="str">
        <x:v>M3 全内容</x:v>
      </x:c>
      <x:c r="M136" s="497" t="str">
        <x:v>待制作</x:v>
      </x:c>
      <x:c r="N136" s="498" t="n">
        <x:v>6</x:v>
      </x:c>
      <x:c r="O136" s="499" t="n">
        <x:v>3</x:v>
      </x:c>
      <x:c r="P136" s="496" t="str"/>
      <x:c r="Q136" s="496" t="str">
        <x:v>每个 960×600 画面最多遮 20% 核心行动区</x:v>
      </x:c>
    </x:row>
    <x:row r="137" ht="62" customHeight="1">
      <x:c r="A137" s="495" t="str">
        <x:v>CAR-08-ENV-04</x:v>
      </x:c>
      <x:c r="B137" s="495" t="str">
        <x:v>第八节车厢｜自然回收 / 生长生态</x:v>
      </x:c>
      <x:c r="C137" s="495" t="str">
        <x:v>环境动画</x:v>
      </x:c>
      <x:c r="D137" s="496" t="str">
        <x:v>自然回收氛围循环包</x:v>
      </x:c>
      <x:c r="E137" s="496" t="str">
        <x:v>让静态全景持续有生命和时间感</x:v>
      </x:c>
      <x:c r="F137" s="496" t="str">
        <x:v>水滴波纹、萤火、藤蔓缓慢生长、鸟影和阳光尘埃</x:v>
      </x:c>
      <x:c r="G137" s="496" t="str">
        <x:v>近 / 中 / 远三层循环</x:v>
      </x:c>
      <x:c r="H137" s="496" t="str">
        <x:v>2–8 秒错峰循环</x:v>
      </x:c>
      <x:c r="I137" s="496" t="str">
        <x:v>Particle atlas / loop strips</x:v>
      </x:c>
      <x:c r="J137" s="496" t="str">
        <x:v>全局氛围</x:v>
      </x:c>
      <x:c r="K137" s="497" t="str">
        <x:v>P1</x:v>
      </x:c>
      <x:c r="L137" s="497" t="str">
        <x:v>M4 抛光</x:v>
      </x:c>
      <x:c r="M137" s="497" t="str">
        <x:v>待制作</x:v>
      </x:c>
      <x:c r="N137" s="498" t="n">
        <x:v>6</x:v>
      </x:c>
      <x:c r="O137" s="499" t="n">
        <x:v>3.5</x:v>
      </x:c>
      <x:c r="P137" s="496" t="str"/>
      <x:c r="Q137" s="496" t="str">
        <x:v>至少一个室内循环 + 一个窗外循环</x:v>
      </x:c>
    </x:row>
    <x:row r="138" ht="62" customHeight="1">
      <x:c r="A138" s="495" t="str">
        <x:v>CAR-08-LGT-01</x:v>
      </x:c>
      <x:c r="B138" s="495" t="str">
        <x:v>第八节车厢｜自然回收 / 生长生态</x:v>
      </x:c>
      <x:c r="C138" s="495" t="str">
        <x:v>灯光 / 调色</x:v>
      </x:c>
      <x:c r="D138" s="496" t="str">
        <x:v>自然回收灯光与完成态</x:v>
      </x:c>
      <x:c r="E138" s="496" t="str">
        <x:v>把交互焦点、危险和叙事高潮分开读清</x:v>
      </x:c>
      <x:c r="F138" s="496" t="str">
        <x:v>主色脚本：#14211F / #345F4A / #7FCB8A / #F2D36B；完成后画面必须发生可见的光线变化</x:v>
      </x:c>
      <x:c r="G138" s="496" t="str">
        <x:v>探索 / 危险 / 完成</x:v>
      </x:c>
      <x:c r="H138" s="496" t="str">
        <x:v>灯光渐变 1–3 秒</x:v>
      </x:c>
      <x:c r="I138" s="496" t="str">
        <x:v>Overlay / LUT 参考</x:v>
      </x:c>
      <x:c r="J138" s="496" t="str">
        <x:v>关卡 8</x:v>
      </x:c>
      <x:c r="K138" s="497" t="str">
        <x:v>P0</x:v>
      </x:c>
      <x:c r="L138" s="497" t="str">
        <x:v>M3 全内容</x:v>
      </x:c>
      <x:c r="M138" s="497" t="str">
        <x:v>待制作</x:v>
      </x:c>
      <x:c r="N138" s="498" t="n">
        <x:v>3</x:v>
      </x:c>
      <x:c r="O138" s="499" t="n">
        <x:v>1.5</x:v>
      </x:c>
      <x:c r="P138" s="496" t="str"/>
      <x:c r="Q138" s="496" t="str">
        <x:v>主角与交互物对比度在三种状态均合格</x:v>
      </x:c>
    </x:row>
    <x:row r="139" ht="62" customHeight="1">
      <x:c r="A139" s="495" t="str">
        <x:v>CAR-08-PRP-01</x:v>
      </x:c>
      <x:c r="B139" s="495" t="str">
        <x:v>第八节车厢｜自然回收 / 生长生态</x:v>
      </x:c>
      <x:c r="C139" s="495" t="str">
        <x:v>核心机制道具</x:v>
      </x:c>
      <x:c r="D139" s="496" t="str">
        <x:v>自然回收主机关套装</x:v>
      </x:c>
      <x:c r="E139" s="496" t="str">
        <x:v>支撑核心机制：控制光、水和菌丝，让植物生长成路并净化污染</x:v>
      </x:c>
      <x:c r="F139" s="496" t="str">
        <x:v>可转反光镜、水阀、菌丝节点、种荚、污染泵</x:v>
      </x:c>
      <x:c r="G139" s="496" t="str">
        <x:v>休眠 / 缺水 / 生长 / 过度生长 / 平衡</x:v>
      </x:c>
      <x:c r="H139" s="496" t="str">
        <x:v>操作、反馈、完成动作</x:v>
      </x:c>
      <x:c r="I139" s="496" t="str">
        <x:v>Sprite atlas + 分层静态件</x:v>
      </x:c>
      <x:c r="J139" s="496" t="str">
        <x:v>关卡 8</x:v>
      </x:c>
      <x:c r="K139" s="497" t="str">
        <x:v>P0</x:v>
      </x:c>
      <x:c r="L139" s="497" t="str">
        <x:v>M3 全内容</x:v>
      </x:c>
      <x:c r="M139" s="497" t="str">
        <x:v>待制作</x:v>
      </x:c>
      <x:c r="N139" s="498" t="n">
        <x:v>8</x:v>
      </x:c>
      <x:c r="O139" s="499" t="n">
        <x:v>5.5</x:v>
      </x:c>
      <x:c r="P139" s="496" t="str"/>
      <x:c r="Q139" s="496" t="str">
        <x:v>每个状态不靠文字也能分辨；手部接触点明确</x:v>
      </x:c>
    </x:row>
    <x:row r="140" ht="62" customHeight="1">
      <x:c r="A140" s="495" t="str">
        <x:v>CAR-08-PRP-02</x:v>
      </x:c>
      <x:c r="B140" s="495" t="str">
        <x:v>第八节车厢｜自然回收 / 生长生态</x:v>
      </x:c>
      <x:c r="C140" s="495" t="str">
        <x:v>机制反馈</x:v>
      </x:c>
      <x:c r="D140" s="496" t="str">
        <x:v>自然回收线路 / 路径 / 因果可视化</x:v>
      </x:c>
      <x:c r="E140" s="496" t="str">
        <x:v>让玩家能读懂自己改变了什么</x:v>
      </x:c>
      <x:c r="F140" s="496" t="str">
        <x:v>用关卡材质呈现输入→传输→结果；围绕“控制光、水和菌丝，让植物生长成路并净化污染”制作视觉链</x:v>
      </x:c>
      <x:c r="G140" s="496" t="str">
        <x:v>未连接 / 部分 / 错误 / 成功</x:v>
      </x:c>
      <x:c r="H140" s="496" t="str">
        <x:v>沿路径传播</x:v>
      </x:c>
      <x:c r="I140" s="496" t="str">
        <x:v>Overlay / decal / VFX atlas</x:v>
      </x:c>
      <x:c r="J140" s="496" t="str">
        <x:v>关卡 8</x:v>
      </x:c>
      <x:c r="K140" s="497" t="str">
        <x:v>P0</x:v>
      </x:c>
      <x:c r="L140" s="497" t="str">
        <x:v>M3 全内容</x:v>
      </x:c>
      <x:c r="M140" s="497" t="str">
        <x:v>待制作</x:v>
      </x:c>
      <x:c r="N140" s="498" t="n">
        <x:v>4</x:v>
      </x:c>
      <x:c r="O140" s="499" t="n">
        <x:v>3</x:v>
      </x:c>
      <x:c r="P140" s="496" t="str"/>
      <x:c r="Q140" s="496" t="str">
        <x:v>反馈必须在一屏内或用清晰方向引导</x:v>
      </x:c>
    </x:row>
    <x:row r="141" ht="62" customHeight="1">
      <x:c r="A141" s="495" t="str">
        <x:v>CAR-08-CHR-01</x:v>
      </x:c>
      <x:c r="B141" s="495" t="str">
        <x:v>第八节车厢｜自然回收 / 生长生态</x:v>
      </x:c>
      <x:c r="C141" s="495" t="str">
        <x:v>角色 / NPC</x:v>
      </x:c>
      <x:c r="D141" s="496" t="str">
        <x:v>自然回收关键角色包</x:v>
      </x:c>
      <x:c r="E141" s="496" t="str">
        <x:v>让机制通过关系和选择产生意义</x:v>
      </x:c>
      <x:c r="F141" s="496" t="str">
        <x:v>藤蔓芽体伙伴 + 被困在生态舱里的乘客</x:v>
      </x:c>
      <x:c r="G141" s="496" t="str">
        <x:v>中性 / 请求 / 受威胁 / 获救</x:v>
      </x:c>
      <x:c r="H141" s="496" t="str">
        <x:v>idle、反应、合作、离场</x:v>
      </x:c>
      <x:c r="I141" s="496" t="str">
        <x:v>模块角色 atlas + portrait</x:v>
      </x:c>
      <x:c r="J141" s="496" t="str">
        <x:v>关卡 8</x:v>
      </x:c>
      <x:c r="K141" s="497" t="str">
        <x:v>P0</x:v>
      </x:c>
      <x:c r="L141" s="497" t="str">
        <x:v>M3 全内容</x:v>
      </x:c>
      <x:c r="M141" s="497" t="str">
        <x:v>待制作</x:v>
      </x:c>
      <x:c r="N141" s="498" t="n">
        <x:v>4</x:v>
      </x:c>
      <x:c r="O141" s="499" t="n">
        <x:v>5</x:v>
      </x:c>
      <x:c r="P141" s="496" t="str"/>
      <x:c r="Q141" s="496" t="str">
        <x:v>至少一名角色会因玩家行为改变姿态/位置</x:v>
      </x:c>
    </x:row>
    <x:row r="142" ht="62" customHeight="1">
      <x:c r="A142" s="495" t="str">
        <x:v>CAR-08-HAZ-01</x:v>
      </x:c>
      <x:c r="B142" s="495" t="str">
        <x:v>第八节车厢｜自然回收 / 生长生态</x:v>
      </x:c>
      <x:c r="C142" s="495" t="str">
        <x:v>危险与导航</x:v>
      </x:c>
      <x:c r="D142" s="496" t="str">
        <x:v>自然回收非战斗压力套装</x:v>
      </x:c>
      <x:c r="E142" s="496" t="str">
        <x:v>提供挑战但保留多种解法</x:v>
      </x:c>
      <x:c r="F142" s="496" t="str">
        <x:v>毒雾、深水、过度生长封路；通过生态平衡解决</x:v>
      </x:c>
      <x:c r="G142" s="496" t="str">
        <x:v>预警 / 激活 / 可绕过 / 已解除</x:v>
      </x:c>
      <x:c r="H142" s="496" t="str">
        <x:v>预警循环 + 解除反馈</x:v>
      </x:c>
      <x:c r="I142" s="496" t="str">
        <x:v>Props + VFX</x:v>
      </x:c>
      <x:c r="J142" s="496" t="str">
        <x:v>关卡 8</x:v>
      </x:c>
      <x:c r="K142" s="497" t="str">
        <x:v>P1</x:v>
      </x:c>
      <x:c r="L142" s="497" t="str">
        <x:v>M3 全内容</x:v>
      </x:c>
      <x:c r="M142" s="497" t="str">
        <x:v>待制作</x:v>
      </x:c>
      <x:c r="N142" s="498" t="n">
        <x:v>5</x:v>
      </x:c>
      <x:c r="O142" s="499" t="n">
        <x:v>3.5</x:v>
      </x:c>
      <x:c r="P142" s="496" t="str"/>
      <x:c r="Q142" s="496" t="str">
        <x:v>危险出现前至少 0.5 秒可读预警</x:v>
      </x:c>
    </x:row>
    <x:row r="143" ht="62" customHeight="1">
      <x:c r="A143" s="495" t="str">
        <x:v>CAR-08-NAR-01</x:v>
      </x:c>
      <x:c r="B143" s="495" t="str">
        <x:v>第八节车厢｜自然回收 / 生长生态</x:v>
      </x:c>
      <x:c r="C143" s="495" t="str">
        <x:v>环境叙事</x:v>
      </x:c>
      <x:c r="D143" s="496" t="str">
        <x:v>自然回收真相碎片</x:v>
      </x:c>
      <x:c r="E143" s="496" t="str">
        <x:v>把探索奖励连到 AI 控制与主角身份</x:v>
      </x:c>
      <x:c r="F143" s="496" t="str">
        <x:v>植物根系绕开乘客舱，暗示列车系统早已做过相反选择</x:v>
      </x:c>
      <x:c r="G143" s="496" t="str">
        <x:v>未发现 / 显影 / 收录</x:v>
      </x:c>
      <x:c r="H143" s="496" t="str">
        <x:v>拾取/拼合 1 秒</x:v>
      </x:c>
      <x:c r="I143" s="496" t="str">
        <x:v>PNG + UI card</x:v>
      </x:c>
      <x:c r="J143" s="496" t="str">
        <x:v>真相碎片</x:v>
      </x:c>
      <x:c r="K143" s="497" t="str">
        <x:v>P1</x:v>
      </x:c>
      <x:c r="L143" s="497" t="str">
        <x:v>M3 全内容</x:v>
      </x:c>
      <x:c r="M143" s="497" t="str">
        <x:v>待制作</x:v>
      </x:c>
      <x:c r="N143" s="498" t="n">
        <x:v>2</x:v>
      </x:c>
      <x:c r="O143" s="499" t="n">
        <x:v>1.5</x:v>
      </x:c>
      <x:c r="P143" s="496" t="str"/>
      <x:c r="Q143" s="496" t="str">
        <x:v>不能与通关必需信息混淆</x:v>
      </x:c>
    </x:row>
    <x:row r="144" ht="62" customHeight="1">
      <x:c r="A144" s="495" t="str">
        <x:v>CAR-08-TX-01</x:v>
      </x:c>
      <x:c r="B144" s="495" t="str">
        <x:v>第八节车厢｜自然回收 / 生长生态</x:v>
      </x:c>
      <x:c r="C144" s="495" t="str">
        <x:v>转场</x:v>
      </x:c>
      <x:c r="D144" s="496" t="str">
        <x:v>自然回收离场转场</x:v>
      </x:c>
      <x:c r="E144" s="496" t="str">
        <x:v>将本关视觉语言自然变成下一关</x:v>
      </x:c>
      <x:c r="F144" s="496" t="str">
        <x:v>水面倒影先显示过去，再吞没当前画面进入记忆关</x:v>
      </x:c>
      <x:c r="G144" s="496" t="str">
        <x:v>正常 / 低稳定度变体</x:v>
      </x:c>
      <x:c r="H144" s="496" t="str">
        <x:v>2–4 秒</x:v>
      </x:c>
      <x:c r="I144" s="496" t="str">
        <x:v>Overlay + props states</x:v>
      </x:c>
      <x:c r="J144" s="496" t="str">
        <x:v>转场</x:v>
      </x:c>
      <x:c r="K144" s="497" t="str">
        <x:v>P1</x:v>
      </x:c>
      <x:c r="L144" s="497" t="str">
        <x:v>M3 全内容</x:v>
      </x:c>
      <x:c r="M144" s="497" t="str">
        <x:v>待制作</x:v>
      </x:c>
      <x:c r="N144" s="498" t="n">
        <x:v>2</x:v>
      </x:c>
      <x:c r="O144" s="499" t="n">
        <x:v>2</x:v>
      </x:c>
      <x:c r="P144" s="496" t="str"/>
      <x:c r="Q144" s="496" t="str">
        <x:v>加载隐藏在门板、黑场或全屏材质蔓延中</x:v>
      </x:c>
    </x:row>
    <x:row r="145" ht="62" customHeight="1">
      <x:c r="A145" s="495" t="str">
        <x:v>CAR-08-UI-01</x:v>
      </x:c>
      <x:c r="B145" s="495" t="str">
        <x:v>第八节车厢｜自然回收 / 生长生态</x:v>
      </x:c>
      <x:c r="C145" s="495" t="str">
        <x:v>UI / 图标</x:v>
      </x:c>
      <x:c r="D145" s="496" t="str">
        <x:v>自然回收机制图标与教程卡</x:v>
      </x:c>
      <x:c r="E145" s="496" t="str">
        <x:v>让新机制在 10–20 秒内可学会</x:v>
      </x:c>
      <x:c r="F145" s="496" t="str">
        <x:v>为“控制光、水和菌丝，让植物生长成路并净化污染”制作动作图标、状态图例和一张无文字示意卡</x:v>
      </x:c>
      <x:c r="G145" s="496" t="str">
        <x:v>键鼠 / 手柄 / 完成</x:v>
      </x:c>
      <x:c r="H145" s="496" t="str">
        <x:v>出现、确认、淡出</x:v>
      </x:c>
      <x:c r="I145" s="496" t="str">
        <x:v>SVG + 2× PNG</x:v>
      </x:c>
      <x:c r="J145" s="496" t="str">
        <x:v>UI 全局</x:v>
      </x:c>
      <x:c r="K145" s="497" t="str">
        <x:v>P0</x:v>
      </x:c>
      <x:c r="L145" s="497" t="str">
        <x:v>M3 全内容</x:v>
      </x:c>
      <x:c r="M145" s="497" t="str">
        <x:v>待制作</x:v>
      </x:c>
      <x:c r="N145" s="498" t="n">
        <x:v>6</x:v>
      </x:c>
      <x:c r="O145" s="499" t="n">
        <x:v>2</x:v>
      </x:c>
      <x:c r="P145" s="496" t="str"/>
      <x:c r="Q145" s="496" t="str">
        <x:v>不依赖英文；课堂试玩可独立理解</x:v>
      </x:c>
    </x:row>
    <x:row r="146" ht="62" customHeight="1">
      <x:c r="A146" s="495" t="str">
        <x:v>CAR-08-SET-01</x:v>
      </x:c>
      <x:c r="B146" s="495" t="str">
        <x:v>第八节车厢｜自然回收 / 生长生态</x:v>
      </x:c>
      <x:c r="C146" s="495" t="str">
        <x:v>高潮演出</x:v>
      </x:c>
      <x:c r="D146" s="496" t="str">
        <x:v>自然回收关卡完成场景</x:v>
      </x:c>
      <x:c r="E146" s="496" t="str">
        <x:v>让解谜高潮拥有与战斗同等的视觉份量</x:v>
      </x:c>
      <x:c r="F146" s="496" t="str">
        <x:v>玩家不能让所有植物最大生长，必须建立可持续循环才能开门</x:v>
      </x:c>
      <x:c r="G146" s="496" t="str">
        <x:v>进入 / 进行 / 完成 / 失败恢复</x:v>
      </x:c>
      <x:c r="H146" s="496" t="str">
        <x:v>3–8 秒分镜演出</x:v>
      </x:c>
      <x:c r="I146" s="496" t="str">
        <x:v>分层场景 + VFX</x:v>
      </x:c>
      <x:c r="J146" s="496" t="str">
        <x:v>关卡 8</x:v>
      </x:c>
      <x:c r="K146" s="497" t="str">
        <x:v>P1</x:v>
      </x:c>
      <x:c r="L146" s="497" t="str">
        <x:v>M4 抛光</x:v>
      </x:c>
      <x:c r="M146" s="497" t="str">
        <x:v>待制作</x:v>
      </x:c>
      <x:c r="N146" s="498" t="n">
        <x:v>1</x:v>
      </x:c>
      <x:c r="O146" s="499" t="n">
        <x:v>4</x:v>
      </x:c>
      <x:c r="P146" s="496" t="str"/>
      <x:c r="Q146" s="496" t="str">
        <x:v>镜头不夺走玩家控制超过必要时长</x:v>
      </x:c>
    </x:row>
    <x:row r="147" ht="62" customHeight="1">
      <x:c r="A147" s="495" t="str">
        <x:v>CAR-09-ENV-01</x:v>
      </x:c>
      <x:c r="B147" s="495" t="str">
        <x:v>第九节车厢｜记忆 / 过去的自己</x:v>
      </x:c>
      <x:c r="C147" s="495" t="str">
        <x:v>环境背景</x:v>
      </x:c>
      <x:c r="D147" s="496" t="str">
        <x:v>记忆车厢窗外全景</x:v>
      </x:c>
      <x:c r="E147" s="496" t="str">
        <x:v>主角的记忆被系统剪辑；合作对象是被删掉的自己。</x:v>
      </x:c>
      <x:c r="F147" s="496" t="str">
        <x:v>现有 11408×941 左右全景；做构图清理、色值统一和 AI 母题检查。主题：家庭照片裂缝与列车路线图重合</x:v>
      </x:c>
      <x:c r="G147" s="496" t="str">
        <x:v>源图 / 运行时三切片</x:v>
      </x:c>
      <x:c r="H147" s="496" t="str">
        <x:v>视差移动</x:v>
      </x:c>
      <x:c r="I147" s="496" t="str">
        <x:v>现有 PNG 源图 + 自动生成 JPG chunks</x:v>
      </x:c>
      <x:c r="J147" s="496" t="str">
        <x:v>关卡 9</x:v>
      </x:c>
      <x:c r="K147" s="497" t="str">
        <x:v>P0</x:v>
      </x:c>
      <x:c r="L147" s="497" t="str">
        <x:v>M1 垂直切片</x:v>
      </x:c>
      <x:c r="M147" s="497" t="str">
        <x:v>已集成</x:v>
      </x:c>
      <x:c r="N147" s="498" t="n">
        <x:v>1</x:v>
      </x:c>
      <x:c r="O147" s="499" t="n">
        <x:v>0.5</x:v>
      </x:c>
      <x:c r="P147" s="496" t="str"/>
      <x:c r="Q147" s="496" t="str">
        <x:v>现有文件：world_07_memory_panorama_fullres.png；需最终美术审核</x:v>
      </x:c>
    </x:row>
    <x:row r="148" ht="62" customHeight="1">
      <x:c r="A148" s="495" t="str">
        <x:v>CAR-09-ENV-02</x:v>
      </x:c>
      <x:c r="B148" s="495" t="str">
        <x:v>第九节车厢｜记忆 / 过去的自己</x:v>
      </x:c>
      <x:c r="C148" s="495" t="str">
        <x:v>车厢皮肤</x:v>
      </x:c>
      <x:c r="D148" s="496" t="str">
        <x:v>记忆车厢车厢内饰覆盖层</x:v>
      </x:c>
      <x:c r="E148" s="496" t="str">
        <x:v>让玩家明确处于同一列车但时代材质被重写</x:v>
      </x:c>
      <x:c r="F148" s="496" t="str">
        <x:v>车厢在卧室、医院、车站三段记忆之间错位拼接</x:v>
      </x:c>
      <x:c r="G148" s="496" t="str">
        <x:v>完好 / 受损 / 解谜完成</x:v>
      </x:c>
      <x:c r="H148" s="496" t="str">
        <x:v>局部状态切换</x:v>
      </x:c>
      <x:c r="I148" s="496" t="str">
        <x:v>分层 PNG/WebP，匹配统一车厢骨架</x:v>
      </x:c>
      <x:c r="J148" s="496" t="str">
        <x:v>车厢骨架</x:v>
      </x:c>
      <x:c r="K148" s="497" t="str">
        <x:v>P0</x:v>
      </x:c>
      <x:c r="L148" s="497" t="str">
        <x:v>M3 全内容</x:v>
      </x:c>
      <x:c r="M148" s="497" t="str">
        <x:v>待制作</x:v>
      </x:c>
      <x:c r="N148" s="498" t="n">
        <x:v>3</x:v>
      </x:c>
      <x:c r="O148" s="499" t="n">
        <x:v>3.5</x:v>
      </x:c>
      <x:c r="P148" s="496" t="str"/>
      <x:c r="Q148" s="496" t="str">
        <x:v>必须保留门窗锚点，不能每关改变碰撞布局</x:v>
      </x:c>
    </x:row>
    <x:row r="149" ht="62" customHeight="1">
      <x:c r="A149" s="495" t="str">
        <x:v>CAR-09-ENV-03</x:v>
      </x:c>
      <x:c r="B149" s="495" t="str">
        <x:v>第九节车厢｜记忆 / 过去的自己</x:v>
      </x:c>
      <x:c r="C149" s="495" t="str">
        <x:v>前景层</x:v>
      </x:c>
      <x:c r="D149" s="496" t="str">
        <x:v>记忆车厢近景框景套装</x:v>
      </x:c>
      <x:c r="E149" s="496" t="str">
        <x:v>建立前、中、后景，避免只剩一张横向背景</x:v>
      </x:c>
      <x:c r="F149" s="496" t="str">
        <x:v>相框、半透明门框、床帘、录像带、漂浮纸片</x:v>
      </x:c>
      <x:c r="G149" s="496" t="str">
        <x:v>左 / 右 / 中段，至少 3 个构图</x:v>
      </x:c>
      <x:c r="H149" s="496" t="str">
        <x:v>靠近玩家淡出</x:v>
      </x:c>
      <x:c r="I149" s="496" t="str">
        <x:v>透明 PNG/WebP，2×</x:v>
      </x:c>
      <x:c r="J149" s="496" t="str">
        <x:v>前景层</x:v>
      </x:c>
      <x:c r="K149" s="497" t="str">
        <x:v>P1</x:v>
      </x:c>
      <x:c r="L149" s="497" t="str">
        <x:v>M3 全内容</x:v>
      </x:c>
      <x:c r="M149" s="497" t="str">
        <x:v>待制作</x:v>
      </x:c>
      <x:c r="N149" s="498" t="n">
        <x:v>6</x:v>
      </x:c>
      <x:c r="O149" s="499" t="n">
        <x:v>3</x:v>
      </x:c>
      <x:c r="P149" s="496" t="str"/>
      <x:c r="Q149" s="496" t="str">
        <x:v>每个 960×600 画面最多遮 20% 核心行动区</x:v>
      </x:c>
    </x:row>
    <x:row r="150" ht="62" customHeight="1">
      <x:c r="A150" s="495" t="str">
        <x:v>CAR-09-ENV-04</x:v>
      </x:c>
      <x:c r="B150" s="495" t="str">
        <x:v>第九节车厢｜记忆 / 过去的自己</x:v>
      </x:c>
      <x:c r="C150" s="495" t="str">
        <x:v>环境动画</x:v>
      </x:c>
      <x:c r="D150" s="496" t="str">
        <x:v>记忆车厢氛围循环包</x:v>
      </x:c>
      <x:c r="E150" s="496" t="str">
        <x:v>让静态全景持续有生命和时间感</x:v>
      </x:c>
      <x:c r="F150" s="496" t="str">
        <x:v>物件位置微变、照片人物眨眼、灰尘倒流、影子延迟</x:v>
      </x:c>
      <x:c r="G150" s="496" t="str">
        <x:v>近 / 中 / 远三层循环</x:v>
      </x:c>
      <x:c r="H150" s="496" t="str">
        <x:v>2–8 秒错峰循环</x:v>
      </x:c>
      <x:c r="I150" s="496" t="str">
        <x:v>Particle atlas / loop strips</x:v>
      </x:c>
      <x:c r="J150" s="496" t="str">
        <x:v>全局氛围</x:v>
      </x:c>
      <x:c r="K150" s="497" t="str">
        <x:v>P1</x:v>
      </x:c>
      <x:c r="L150" s="497" t="str">
        <x:v>M4 抛光</x:v>
      </x:c>
      <x:c r="M150" s="497" t="str">
        <x:v>待制作</x:v>
      </x:c>
      <x:c r="N150" s="498" t="n">
        <x:v>6</x:v>
      </x:c>
      <x:c r="O150" s="499" t="n">
        <x:v>3.5</x:v>
      </x:c>
      <x:c r="P150" s="496" t="str"/>
      <x:c r="Q150" s="496" t="str">
        <x:v>至少一个室内循环 + 一个窗外循环</x:v>
      </x:c>
    </x:row>
    <x:row r="151" ht="62" customHeight="1">
      <x:c r="A151" s="495" t="str">
        <x:v>CAR-09-LGT-01</x:v>
      </x:c>
      <x:c r="B151" s="495" t="str">
        <x:v>第九节车厢｜记忆 / 过去的自己</x:v>
      </x:c>
      <x:c r="C151" s="495" t="str">
        <x:v>灯光 / 调色</x:v>
      </x:c>
      <x:c r="D151" s="496" t="str">
        <x:v>记忆车厢灯光与完成态</x:v>
      </x:c>
      <x:c r="E151" s="496" t="str">
        <x:v>把交互焦点、危险和叙事高潮分开读清</x:v>
      </x:c>
      <x:c r="F151" s="496" t="str">
        <x:v>主色脚本：#191A2B / #514865 / #B8A7D9 / #F1A6A0；完成后画面必须发生可见的光线变化</x:v>
      </x:c>
      <x:c r="G151" s="496" t="str">
        <x:v>探索 / 危险 / 完成</x:v>
      </x:c>
      <x:c r="H151" s="496" t="str">
        <x:v>灯光渐变 1–3 秒</x:v>
      </x:c>
      <x:c r="I151" s="496" t="str">
        <x:v>Overlay / LUT 参考</x:v>
      </x:c>
      <x:c r="J151" s="496" t="str">
        <x:v>关卡 9</x:v>
      </x:c>
      <x:c r="K151" s="497" t="str">
        <x:v>P0</x:v>
      </x:c>
      <x:c r="L151" s="497" t="str">
        <x:v>M3 全内容</x:v>
      </x:c>
      <x:c r="M151" s="497" t="str">
        <x:v>待制作</x:v>
      </x:c>
      <x:c r="N151" s="498" t="n">
        <x:v>3</x:v>
      </x:c>
      <x:c r="O151" s="499" t="n">
        <x:v>1.5</x:v>
      </x:c>
      <x:c r="P151" s="496" t="str"/>
      <x:c r="Q151" s="496" t="str">
        <x:v>主角与交互物对比度在三种状态均合格</x:v>
      </x:c>
    </x:row>
    <x:row r="152" ht="62" customHeight="1">
      <x:c r="A152" s="495" t="str">
        <x:v>CAR-09-PRP-01</x:v>
      </x:c>
      <x:c r="B152" s="495" t="str">
        <x:v>第九节车厢｜记忆 / 过去的自己</x:v>
      </x:c>
      <x:c r="C152" s="495" t="str">
        <x:v>核心机制道具</x:v>
      </x:c>
      <x:c r="D152" s="496" t="str">
        <x:v>记忆车厢主机关套装</x:v>
      </x:c>
      <x:c r="E152" s="496" t="str">
        <x:v>支撑核心机制：录制一段行动，再与过去的自己同时完成双人机关</x:v>
      </x:c>
      <x:c r="F152" s="496" t="str">
        <x:v>记录台、时间轨、双压力板、记忆锚点、矛盾照片</x:v>
      </x:c>
      <x:c r="G152" s="496" t="str">
        <x:v>未录制 / 录制中 / 回放 / 覆盖 / 冲突</x:v>
      </x:c>
      <x:c r="H152" s="496" t="str">
        <x:v>操作、反馈、完成动作</x:v>
      </x:c>
      <x:c r="I152" s="496" t="str">
        <x:v>Sprite atlas + 分层静态件</x:v>
      </x:c>
      <x:c r="J152" s="496" t="str">
        <x:v>关卡 9</x:v>
      </x:c>
      <x:c r="K152" s="497" t="str">
        <x:v>P0</x:v>
      </x:c>
      <x:c r="L152" s="497" t="str">
        <x:v>M3 全内容</x:v>
      </x:c>
      <x:c r="M152" s="497" t="str">
        <x:v>待制作</x:v>
      </x:c>
      <x:c r="N152" s="498" t="n">
        <x:v>8</x:v>
      </x:c>
      <x:c r="O152" s="499" t="n">
        <x:v>5.5</x:v>
      </x:c>
      <x:c r="P152" s="496" t="str"/>
      <x:c r="Q152" s="496" t="str">
        <x:v>每个状态不靠文字也能分辨；手部接触点明确</x:v>
      </x:c>
    </x:row>
    <x:row r="153" ht="62" customHeight="1">
      <x:c r="A153" s="495" t="str">
        <x:v>CAR-09-PRP-02</x:v>
      </x:c>
      <x:c r="B153" s="495" t="str">
        <x:v>第九节车厢｜记忆 / 过去的自己</x:v>
      </x:c>
      <x:c r="C153" s="495" t="str">
        <x:v>机制反馈</x:v>
      </x:c>
      <x:c r="D153" s="496" t="str">
        <x:v>记忆车厢线路 / 路径 / 因果可视化</x:v>
      </x:c>
      <x:c r="E153" s="496" t="str">
        <x:v>让玩家能读懂自己改变了什么</x:v>
      </x:c>
      <x:c r="F153" s="496" t="str">
        <x:v>用关卡材质呈现输入→传输→结果；围绕“录制一段行动，再与过去的自己同时完成双人机关”制作视觉链</x:v>
      </x:c>
      <x:c r="G153" s="496" t="str">
        <x:v>未连接 / 部分 / 错误 / 成功</x:v>
      </x:c>
      <x:c r="H153" s="496" t="str">
        <x:v>沿路径传播</x:v>
      </x:c>
      <x:c r="I153" s="496" t="str">
        <x:v>Overlay / decal / VFX atlas</x:v>
      </x:c>
      <x:c r="J153" s="496" t="str">
        <x:v>关卡 9</x:v>
      </x:c>
      <x:c r="K153" s="497" t="str">
        <x:v>P0</x:v>
      </x:c>
      <x:c r="L153" s="497" t="str">
        <x:v>M3 全内容</x:v>
      </x:c>
      <x:c r="M153" s="497" t="str">
        <x:v>待制作</x:v>
      </x:c>
      <x:c r="N153" s="498" t="n">
        <x:v>4</x:v>
      </x:c>
      <x:c r="O153" s="499" t="n">
        <x:v>3</x:v>
      </x:c>
      <x:c r="P153" s="496" t="str"/>
      <x:c r="Q153" s="496" t="str">
        <x:v>反馈必须在一屏内或用清晰方向引导</x:v>
      </x:c>
    </x:row>
    <x:row r="154" ht="62" customHeight="1">
      <x:c r="A154" s="495" t="str">
        <x:v>CAR-09-CHR-01</x:v>
      </x:c>
      <x:c r="B154" s="495" t="str">
        <x:v>第九节车厢｜记忆 / 过去的自己</x:v>
      </x:c>
      <x:c r="C154" s="495" t="str">
        <x:v>角色 / NPC</x:v>
      </x:c>
      <x:c r="D154" s="496" t="str">
        <x:v>记忆车厢关键角色包</x:v>
      </x:c>
      <x:c r="E154" s="496" t="str">
        <x:v>让机制通过关系和选择产生意义</x:v>
      </x:c>
      <x:c r="F154" s="496" t="str">
        <x:v>过去的主角、记忆中的亲人、被系统删去脸的乘客</x:v>
      </x:c>
      <x:c r="G154" s="496" t="str">
        <x:v>中性 / 请求 / 受威胁 / 获救</x:v>
      </x:c>
      <x:c r="H154" s="496" t="str">
        <x:v>idle、反应、合作、离场</x:v>
      </x:c>
      <x:c r="I154" s="496" t="str">
        <x:v>模块角色 atlas + portrait</x:v>
      </x:c>
      <x:c r="J154" s="496" t="str">
        <x:v>关卡 9</x:v>
      </x:c>
      <x:c r="K154" s="497" t="str">
        <x:v>P0</x:v>
      </x:c>
      <x:c r="L154" s="497" t="str">
        <x:v>M3 全内容</x:v>
      </x:c>
      <x:c r="M154" s="497" t="str">
        <x:v>待制作</x:v>
      </x:c>
      <x:c r="N154" s="498" t="n">
        <x:v>4</x:v>
      </x:c>
      <x:c r="O154" s="499" t="n">
        <x:v>5</x:v>
      </x:c>
      <x:c r="P154" s="496" t="str"/>
      <x:c r="Q154" s="496" t="str">
        <x:v>至少一名角色会因玩家行为改变姿态/位置</x:v>
      </x:c>
    </x:row>
    <x:row r="155" ht="62" customHeight="1">
      <x:c r="A155" s="495" t="str">
        <x:v>CAR-09-HAZ-01</x:v>
      </x:c>
      <x:c r="B155" s="495" t="str">
        <x:v>第九节车厢｜记忆 / 过去的自己</x:v>
      </x:c>
      <x:c r="C155" s="495" t="str">
        <x:v>危险与导航</x:v>
      </x:c>
      <x:c r="D155" s="496" t="str">
        <x:v>记忆车厢非战斗压力套装</x:v>
      </x:c>
      <x:c r="E155" s="496" t="str">
        <x:v>提供挑战但保留多种解法</x:v>
      </x:c>
      <x:c r="F155" s="496" t="str">
        <x:v>时间覆盖区、错误记忆诱导、回放冲突；不依赖敌人</x:v>
      </x:c>
      <x:c r="G155" s="496" t="str">
        <x:v>预警 / 激活 / 可绕过 / 已解除</x:v>
      </x:c>
      <x:c r="H155" s="496" t="str">
        <x:v>预警循环 + 解除反馈</x:v>
      </x:c>
      <x:c r="I155" s="496" t="str">
        <x:v>Props + VFX</x:v>
      </x:c>
      <x:c r="J155" s="496" t="str">
        <x:v>关卡 9</x:v>
      </x:c>
      <x:c r="K155" s="497" t="str">
        <x:v>P1</x:v>
      </x:c>
      <x:c r="L155" s="497" t="str">
        <x:v>M3 全内容</x:v>
      </x:c>
      <x:c r="M155" s="497" t="str">
        <x:v>待制作</x:v>
      </x:c>
      <x:c r="N155" s="498" t="n">
        <x:v>5</x:v>
      </x:c>
      <x:c r="O155" s="499" t="n">
        <x:v>3.5</x:v>
      </x:c>
      <x:c r="P155" s="496" t="str"/>
      <x:c r="Q155" s="496" t="str">
        <x:v>危险出现前至少 0.5 秒可读预警</x:v>
      </x:c>
    </x:row>
    <x:row r="156" ht="62" customHeight="1">
      <x:c r="A156" s="495" t="str">
        <x:v>CAR-09-NAR-01</x:v>
      </x:c>
      <x:c r="B156" s="495" t="str">
        <x:v>第九节车厢｜记忆 / 过去的自己</x:v>
      </x:c>
      <x:c r="C156" s="495" t="str">
        <x:v>环境叙事</x:v>
      </x:c>
      <x:c r="D156" s="496" t="str">
        <x:v>记忆车厢真相碎片</x:v>
      </x:c>
      <x:c r="E156" s="496" t="str">
        <x:v>把探索奖励连到 AI 控制与主角身份</x:v>
      </x:c>
      <x:c r="F156" s="496" t="str">
        <x:v>完整家人照片背后写着主角自愿登车的原因</x:v>
      </x:c>
      <x:c r="G156" s="496" t="str">
        <x:v>未发现 / 显影 / 收录</x:v>
      </x:c>
      <x:c r="H156" s="496" t="str">
        <x:v>拾取/拼合 1 秒</x:v>
      </x:c>
      <x:c r="I156" s="496" t="str">
        <x:v>PNG + UI card</x:v>
      </x:c>
      <x:c r="J156" s="496" t="str">
        <x:v>真相碎片</x:v>
      </x:c>
      <x:c r="K156" s="497" t="str">
        <x:v>P1</x:v>
      </x:c>
      <x:c r="L156" s="497" t="str">
        <x:v>M3 全内容</x:v>
      </x:c>
      <x:c r="M156" s="497" t="str">
        <x:v>待制作</x:v>
      </x:c>
      <x:c r="N156" s="498" t="n">
        <x:v>2</x:v>
      </x:c>
      <x:c r="O156" s="499" t="n">
        <x:v>1.5</x:v>
      </x:c>
      <x:c r="P156" s="496" t="str"/>
      <x:c r="Q156" s="496" t="str">
        <x:v>不能与通关必需信息混淆</x:v>
      </x:c>
    </x:row>
    <x:row r="157" ht="62" customHeight="1">
      <x:c r="A157" s="495" t="str">
        <x:v>CAR-09-TX-01</x:v>
      </x:c>
      <x:c r="B157" s="495" t="str">
        <x:v>第九节车厢｜记忆 / 过去的自己</x:v>
      </x:c>
      <x:c r="C157" s="495" t="str">
        <x:v>转场</x:v>
      </x:c>
      <x:c r="D157" s="496" t="str">
        <x:v>记忆车厢离场转场</x:v>
      </x:c>
      <x:c r="E157" s="496" t="str">
        <x:v>将本关视觉语言自然变成下一关</x:v>
      </x:c>
      <x:c r="F157" s="496" t="str">
        <x:v>所有记忆层对齐成列车长的控制室平面图</x:v>
      </x:c>
      <x:c r="G157" s="496" t="str">
        <x:v>正常 / 低稳定度变体</x:v>
      </x:c>
      <x:c r="H157" s="496" t="str">
        <x:v>2–4 秒</x:v>
      </x:c>
      <x:c r="I157" s="496" t="str">
        <x:v>Overlay + props states</x:v>
      </x:c>
      <x:c r="J157" s="496" t="str">
        <x:v>转场</x:v>
      </x:c>
      <x:c r="K157" s="497" t="str">
        <x:v>P1</x:v>
      </x:c>
      <x:c r="L157" s="497" t="str">
        <x:v>M3 全内容</x:v>
      </x:c>
      <x:c r="M157" s="497" t="str">
        <x:v>待制作</x:v>
      </x:c>
      <x:c r="N157" s="498" t="n">
        <x:v>2</x:v>
      </x:c>
      <x:c r="O157" s="499" t="n">
        <x:v>2</x:v>
      </x:c>
      <x:c r="P157" s="496" t="str"/>
      <x:c r="Q157" s="496" t="str">
        <x:v>加载隐藏在门板、黑场或全屏材质蔓延中</x:v>
      </x:c>
    </x:row>
    <x:row r="158" ht="62" customHeight="1">
      <x:c r="A158" s="495" t="str">
        <x:v>CAR-09-UI-01</x:v>
      </x:c>
      <x:c r="B158" s="495" t="str">
        <x:v>第九节车厢｜记忆 / 过去的自己</x:v>
      </x:c>
      <x:c r="C158" s="495" t="str">
        <x:v>UI / 图标</x:v>
      </x:c>
      <x:c r="D158" s="496" t="str">
        <x:v>记忆车厢机制图标与教程卡</x:v>
      </x:c>
      <x:c r="E158" s="496" t="str">
        <x:v>让新机制在 10–20 秒内可学会</x:v>
      </x:c>
      <x:c r="F158" s="496" t="str">
        <x:v>为“录制一段行动，再与过去的自己同时完成双人机关”制作动作图标、状态图例和一张无文字示意卡</x:v>
      </x:c>
      <x:c r="G158" s="496" t="str">
        <x:v>键鼠 / 手柄 / 完成</x:v>
      </x:c>
      <x:c r="H158" s="496" t="str">
        <x:v>出现、确认、淡出</x:v>
      </x:c>
      <x:c r="I158" s="496" t="str">
        <x:v>SVG + 2× PNG</x:v>
      </x:c>
      <x:c r="J158" s="496" t="str">
        <x:v>UI 全局</x:v>
      </x:c>
      <x:c r="K158" s="497" t="str">
        <x:v>P0</x:v>
      </x:c>
      <x:c r="L158" s="497" t="str">
        <x:v>M3 全内容</x:v>
      </x:c>
      <x:c r="M158" s="497" t="str">
        <x:v>待制作</x:v>
      </x:c>
      <x:c r="N158" s="498" t="n">
        <x:v>6</x:v>
      </x:c>
      <x:c r="O158" s="499" t="n">
        <x:v>2</x:v>
      </x:c>
      <x:c r="P158" s="496" t="str"/>
      <x:c r="Q158" s="496" t="str">
        <x:v>不依赖英文；课堂试玩可独立理解</x:v>
      </x:c>
    </x:row>
    <x:row r="159" ht="62" customHeight="1">
      <x:c r="A159" s="495" t="str">
        <x:v>CAR-09-SET-01</x:v>
      </x:c>
      <x:c r="B159" s="495" t="str">
        <x:v>第九节车厢｜记忆 / 过去的自己</x:v>
      </x:c>
      <x:c r="C159" s="495" t="str">
        <x:v>高潮演出</x:v>
      </x:c>
      <x:c r="D159" s="496" t="str">
        <x:v>记忆车厢关卡完成场景</x:v>
      </x:c>
      <x:c r="E159" s="496" t="str">
        <x:v>让解谜高潮拥有与战斗同等的视觉份量</x:v>
      </x:c>
      <x:c r="F159" s="496" t="str">
        <x:v>现在的玩家和过去录制动作隔窗同时推杆，完成真正的单人合作高潮</x:v>
      </x:c>
      <x:c r="G159" s="496" t="str">
        <x:v>进入 / 进行 / 完成 / 失败恢复</x:v>
      </x:c>
      <x:c r="H159" s="496" t="str">
        <x:v>3–8 秒分镜演出</x:v>
      </x:c>
      <x:c r="I159" s="496" t="str">
        <x:v>分层场景 + VFX</x:v>
      </x:c>
      <x:c r="J159" s="496" t="str">
        <x:v>关卡 9</x:v>
      </x:c>
      <x:c r="K159" s="497" t="str">
        <x:v>P1</x:v>
      </x:c>
      <x:c r="L159" s="497" t="str">
        <x:v>M4 抛光</x:v>
      </x:c>
      <x:c r="M159" s="497" t="str">
        <x:v>待制作</x:v>
      </x:c>
      <x:c r="N159" s="498" t="n">
        <x:v>1</x:v>
      </x:c>
      <x:c r="O159" s="499" t="n">
        <x:v>4</x:v>
      </x:c>
      <x:c r="P159" s="496" t="str"/>
      <x:c r="Q159" s="496" t="str">
        <x:v>镜头不夺走玩家控制超过必要时长</x:v>
      </x:c>
    </x:row>
    <x:row r="160" ht="62" customHeight="1">
      <x:c r="A160" s="495" t="str">
        <x:v>CAR-10-ENV-01</x:v>
      </x:c>
      <x:c r="B160" s="495" t="str">
        <x:v>第十节车厢｜最终选择 / 系统核心</x:v>
      </x:c>
      <x:c r="C160" s="495" t="str">
        <x:v>环境背景</x:v>
      </x:c>
      <x:c r="D160" s="496" t="str">
        <x:v>最终选择窗外全景</x:v>
      </x:c>
      <x:c r="E160" s="496" t="str">
        <x:v>不是简单打 Boss：玩家证明自己学会了如何合作、承担后果和定义自由。</x:v>
      </x:c>
      <x:c r="F160" s="496" t="str">
        <x:v>现有 11408×941 左右全景；做构图清理、色值统一和 AI 母题检查。主题：所有 AI 母题拼成核心眼，再被玩家改写</x:v>
      </x:c>
      <x:c r="G160" s="496" t="str">
        <x:v>源图 / 运行时三切片</x:v>
      </x:c>
      <x:c r="H160" s="496" t="str">
        <x:v>视差移动</x:v>
      </x:c>
      <x:c r="I160" s="496" t="str">
        <x:v>现有 PNG 源图 + 自动生成 JPG chunks</x:v>
      </x:c>
      <x:c r="J160" s="496" t="str">
        <x:v>关卡 10</x:v>
      </x:c>
      <x:c r="K160" s="497" t="str">
        <x:v>P0</x:v>
      </x:c>
      <x:c r="L160" s="497" t="str">
        <x:v>M1 垂直切片</x:v>
      </x:c>
      <x:c r="M160" s="497" t="str">
        <x:v>已集成</x:v>
      </x:c>
      <x:c r="N160" s="498" t="n">
        <x:v>1</x:v>
      </x:c>
      <x:c r="O160" s="499" t="n">
        <x:v>0.5</x:v>
      </x:c>
      <x:c r="P160" s="496" t="str"/>
      <x:c r="Q160" s="496" t="str">
        <x:v>现有文件：world_08_final_choice_panorama_fullres.png；需最终美术审核</x:v>
      </x:c>
    </x:row>
    <x:row r="161" ht="62" customHeight="1">
      <x:c r="A161" s="495" t="str">
        <x:v>CAR-10-ENV-02</x:v>
      </x:c>
      <x:c r="B161" s="495" t="str">
        <x:v>第十节车厢｜最终选择 / 系统核心</x:v>
      </x:c>
      <x:c r="C161" s="495" t="str">
        <x:v>车厢皮肤</x:v>
      </x:c>
      <x:c r="D161" s="496" t="str">
        <x:v>最终选择车厢内饰覆盖层</x:v>
      </x:c>
      <x:c r="E161" s="496" t="str">
        <x:v>让玩家明确处于同一列车但时代材质被重写</x:v>
      </x:c>
      <x:c r="F161" s="496" t="str">
        <x:v>列车结构剥开成控制核心，十个时代材质像档案层悬浮在墙面</x:v>
      </x:c>
      <x:c r="G161" s="496" t="str">
        <x:v>完好 / 受损 / 解谜完成</x:v>
      </x:c>
      <x:c r="H161" s="496" t="str">
        <x:v>局部状态切换</x:v>
      </x:c>
      <x:c r="I161" s="496" t="str">
        <x:v>分层 PNG/WebP，匹配统一车厢骨架</x:v>
      </x:c>
      <x:c r="J161" s="496" t="str">
        <x:v>车厢骨架</x:v>
      </x:c>
      <x:c r="K161" s="497" t="str">
        <x:v>P0</x:v>
      </x:c>
      <x:c r="L161" s="497" t="str">
        <x:v>M3 全内容</x:v>
      </x:c>
      <x:c r="M161" s="497" t="str">
        <x:v>待制作</x:v>
      </x:c>
      <x:c r="N161" s="498" t="n">
        <x:v>3</x:v>
      </x:c>
      <x:c r="O161" s="499" t="n">
        <x:v>3.5</x:v>
      </x:c>
      <x:c r="P161" s="496" t="str"/>
      <x:c r="Q161" s="496" t="str">
        <x:v>必须保留门窗锚点，不能每关改变碰撞布局</x:v>
      </x:c>
    </x:row>
    <x:row r="162" ht="62" customHeight="1">
      <x:c r="A162" s="495" t="str">
        <x:v>CAR-10-ENV-03</x:v>
      </x:c>
      <x:c r="B162" s="495" t="str">
        <x:v>第十节车厢｜最终选择 / 系统核心</x:v>
      </x:c>
      <x:c r="C162" s="495" t="str">
        <x:v>前景层</x:v>
      </x:c>
      <x:c r="D162" s="496" t="str">
        <x:v>最终选择近景框景套装</x:v>
      </x:c>
      <x:c r="E162" s="496" t="str">
        <x:v>建立前、中、后景，避免只剩一张横向背景</x:v>
      </x:c>
      <x:c r="F162" s="496" t="str">
        <x:v>巨大线缆、碎裂车票、悬浮门框、被封存乘客舱</x:v>
      </x:c>
      <x:c r="G162" s="496" t="str">
        <x:v>左 / 右 / 中段，至少 3 个构图</x:v>
      </x:c>
      <x:c r="H162" s="496" t="str">
        <x:v>靠近玩家淡出</x:v>
      </x:c>
      <x:c r="I162" s="496" t="str">
        <x:v>透明 PNG/WebP，2×</x:v>
      </x:c>
      <x:c r="J162" s="496" t="str">
        <x:v>前景层</x:v>
      </x:c>
      <x:c r="K162" s="497" t="str">
        <x:v>P1</x:v>
      </x:c>
      <x:c r="L162" s="497" t="str">
        <x:v>M3 全内容</x:v>
      </x:c>
      <x:c r="M162" s="497" t="str">
        <x:v>待制作</x:v>
      </x:c>
      <x:c r="N162" s="498" t="n">
        <x:v>6</x:v>
      </x:c>
      <x:c r="O162" s="499" t="n">
        <x:v>3</x:v>
      </x:c>
      <x:c r="P162" s="496" t="str"/>
      <x:c r="Q162" s="496" t="str">
        <x:v>每个 960×600 画面最多遮 20% 核心行动区</x:v>
      </x:c>
    </x:row>
    <x:row r="163" ht="62" customHeight="1">
      <x:c r="A163" s="495" t="str">
        <x:v>CAR-10-ENV-04</x:v>
      </x:c>
      <x:c r="B163" s="495" t="str">
        <x:v>第十节车厢｜最终选择 / 系统核心</x:v>
      </x:c>
      <x:c r="C163" s="495" t="str">
        <x:v>环境动画</x:v>
      </x:c>
      <x:c r="D163" s="496" t="str">
        <x:v>最终选择氛围循环包</x:v>
      </x:c>
      <x:c r="E163" s="496" t="str">
        <x:v>让静态全景持续有生命和时间感</x:v>
      </x:c>
      <x:c r="F163" s="496" t="str">
        <x:v>重力异常碎片、全关色彩脉冲、核心呼吸、远处乘客剪影苏醒</x:v>
      </x:c>
      <x:c r="G163" s="496" t="str">
        <x:v>近 / 中 / 远三层循环</x:v>
      </x:c>
      <x:c r="H163" s="496" t="str">
        <x:v>2–8 秒错峰循环</x:v>
      </x:c>
      <x:c r="I163" s="496" t="str">
        <x:v>Particle atlas / loop strips</x:v>
      </x:c>
      <x:c r="J163" s="496" t="str">
        <x:v>全局氛围</x:v>
      </x:c>
      <x:c r="K163" s="497" t="str">
        <x:v>P1</x:v>
      </x:c>
      <x:c r="L163" s="497" t="str">
        <x:v>M4 抛光</x:v>
      </x:c>
      <x:c r="M163" s="497" t="str">
        <x:v>待制作</x:v>
      </x:c>
      <x:c r="N163" s="498" t="n">
        <x:v>6</x:v>
      </x:c>
      <x:c r="O163" s="499" t="n">
        <x:v>3.5</x:v>
      </x:c>
      <x:c r="P163" s="496" t="str"/>
      <x:c r="Q163" s="496" t="str">
        <x:v>至少一个室内循环 + 一个窗外循环</x:v>
      </x:c>
    </x:row>
    <x:row r="164" ht="62" customHeight="1">
      <x:c r="A164" s="495" t="str">
        <x:v>CAR-10-LGT-01</x:v>
      </x:c>
      <x:c r="B164" s="495" t="str">
        <x:v>第十节车厢｜最终选择 / 系统核心</x:v>
      </x:c>
      <x:c r="C164" s="495" t="str">
        <x:v>灯光 / 调色</x:v>
      </x:c>
      <x:c r="D164" s="496" t="str">
        <x:v>最终选择灯光与完成态</x:v>
      </x:c>
      <x:c r="E164" s="496" t="str">
        <x:v>把交互焦点、危险和叙事高潮分开读清</x:v>
      </x:c>
      <x:c r="F164" s="496" t="str">
        <x:v>主色脚本：#0D1018 / #313D55 / #E6E8F2 / #F0C75E；完成后画面必须发生可见的光线变化</x:v>
      </x:c>
      <x:c r="G164" s="496" t="str">
        <x:v>探索 / 危险 / 完成</x:v>
      </x:c>
      <x:c r="H164" s="496" t="str">
        <x:v>灯光渐变 1–3 秒</x:v>
      </x:c>
      <x:c r="I164" s="496" t="str">
        <x:v>Overlay / LUT 参考</x:v>
      </x:c>
      <x:c r="J164" s="496" t="str">
        <x:v>关卡 10</x:v>
      </x:c>
      <x:c r="K164" s="497" t="str">
        <x:v>P0</x:v>
      </x:c>
      <x:c r="L164" s="497" t="str">
        <x:v>M3 全内容</x:v>
      </x:c>
      <x:c r="M164" s="497" t="str">
        <x:v>待制作</x:v>
      </x:c>
      <x:c r="N164" s="498" t="n">
        <x:v>3</x:v>
      </x:c>
      <x:c r="O164" s="499" t="n">
        <x:v>1.5</x:v>
      </x:c>
      <x:c r="P164" s="496" t="str"/>
      <x:c r="Q164" s="496" t="str">
        <x:v>主角与交互物对比度在三种状态均合格</x:v>
      </x:c>
    </x:row>
    <x:row r="165" ht="62" customHeight="1">
      <x:c r="A165" s="495" t="str">
        <x:v>CAR-10-PRP-01</x:v>
      </x:c>
      <x:c r="B165" s="495" t="str">
        <x:v>第十节车厢｜最终选择 / 系统核心</x:v>
      </x:c>
      <x:c r="C165" s="495" t="str">
        <x:v>核心机制道具</x:v>
      </x:c>
      <x:c r="D165" s="496" t="str">
        <x:v>最终选择主机关套装</x:v>
      </x:c>
      <x:c r="E165" s="496" t="str">
        <x:v>支撑核心机制：重混前九关机制，重写 AI 规则并决定乘客命运</x:v>
      </x:c>
      <x:c r="F165" s="496" t="str">
        <x:v>规则编译台、十枚机制符号、乘客释放锁、AI 核心接口</x:v>
      </x:c>
      <x:c r="G165" s="496" t="str">
        <x:v>封锁 / 争夺 / 重写 / 摧毁 / 共存</x:v>
      </x:c>
      <x:c r="H165" s="496" t="str">
        <x:v>操作、反馈、完成动作</x:v>
      </x:c>
      <x:c r="I165" s="496" t="str">
        <x:v>Sprite atlas + 分层静态件</x:v>
      </x:c>
      <x:c r="J165" s="496" t="str">
        <x:v>关卡 10</x:v>
      </x:c>
      <x:c r="K165" s="497" t="str">
        <x:v>P0</x:v>
      </x:c>
      <x:c r="L165" s="497" t="str">
        <x:v>M3 全内容</x:v>
      </x:c>
      <x:c r="M165" s="497" t="str">
        <x:v>待制作</x:v>
      </x:c>
      <x:c r="N165" s="498" t="n">
        <x:v>8</x:v>
      </x:c>
      <x:c r="O165" s="499" t="n">
        <x:v>5.5</x:v>
      </x:c>
      <x:c r="P165" s="496" t="str"/>
      <x:c r="Q165" s="496" t="str">
        <x:v>每个状态不靠文字也能分辨；手部接触点明确</x:v>
      </x:c>
    </x:row>
    <x:row r="166" ht="62" customHeight="1">
      <x:c r="A166" s="495" t="str">
        <x:v>CAR-10-PRP-02</x:v>
      </x:c>
      <x:c r="B166" s="495" t="str">
        <x:v>第十节车厢｜最终选择 / 系统核心</x:v>
      </x:c>
      <x:c r="C166" s="495" t="str">
        <x:v>机制反馈</x:v>
      </x:c>
      <x:c r="D166" s="496" t="str">
        <x:v>最终选择线路 / 路径 / 因果可视化</x:v>
      </x:c>
      <x:c r="E166" s="496" t="str">
        <x:v>让玩家能读懂自己改变了什么</x:v>
      </x:c>
      <x:c r="F166" s="496" t="str">
        <x:v>用关卡材质呈现输入→传输→结果；围绕“重混前九关机制，重写 AI 规则并决定乘客命运”制作视觉链</x:v>
      </x:c>
      <x:c r="G166" s="496" t="str">
        <x:v>未连接 / 部分 / 错误 / 成功</x:v>
      </x:c>
      <x:c r="H166" s="496" t="str">
        <x:v>沿路径传播</x:v>
      </x:c>
      <x:c r="I166" s="496" t="str">
        <x:v>Overlay / decal / VFX atlas</x:v>
      </x:c>
      <x:c r="J166" s="496" t="str">
        <x:v>关卡 10</x:v>
      </x:c>
      <x:c r="K166" s="497" t="str">
        <x:v>P0</x:v>
      </x:c>
      <x:c r="L166" s="497" t="str">
        <x:v>M3 全内容</x:v>
      </x:c>
      <x:c r="M166" s="497" t="str">
        <x:v>待制作</x:v>
      </x:c>
      <x:c r="N166" s="498" t="n">
        <x:v>4</x:v>
      </x:c>
      <x:c r="O166" s="499" t="n">
        <x:v>3</x:v>
      </x:c>
      <x:c r="P166" s="496" t="str"/>
      <x:c r="Q166" s="496" t="str">
        <x:v>反馈必须在一屏内或用清晰方向引导</x:v>
      </x:c>
    </x:row>
    <x:row r="167" ht="62" customHeight="1">
      <x:c r="A167" s="495" t="str">
        <x:v>CAR-10-CHR-01</x:v>
      </x:c>
      <x:c r="B167" s="495" t="str">
        <x:v>第十节车厢｜最终选择 / 系统核心</x:v>
      </x:c>
      <x:c r="C167" s="495" t="str">
        <x:v>角色 / NPC</x:v>
      </x:c>
      <x:c r="D167" s="496" t="str">
        <x:v>最终选择关键角色包</x:v>
      </x:c>
      <x:c r="E167" s="496" t="str">
        <x:v>让机制通过关系和选择产生意义</x:v>
      </x:c>
      <x:c r="F167" s="496" t="str">
        <x:v>列车长三阶段、所有获救 NPC 投影、乘客群</x:v>
      </x:c>
      <x:c r="G167" s="496" t="str">
        <x:v>中性 / 请求 / 受威胁 / 获救</x:v>
      </x:c>
      <x:c r="H167" s="496" t="str">
        <x:v>idle、反应、合作、离场</x:v>
      </x:c>
      <x:c r="I167" s="496" t="str">
        <x:v>模块角色 atlas + portrait</x:v>
      </x:c>
      <x:c r="J167" s="496" t="str">
        <x:v>关卡 10</x:v>
      </x:c>
      <x:c r="K167" s="497" t="str">
        <x:v>P0</x:v>
      </x:c>
      <x:c r="L167" s="497" t="str">
        <x:v>M3 全内容</x:v>
      </x:c>
      <x:c r="M167" s="497" t="str">
        <x:v>待制作</x:v>
      </x:c>
      <x:c r="N167" s="498" t="n">
        <x:v>4</x:v>
      </x:c>
      <x:c r="O167" s="499" t="n">
        <x:v>5</x:v>
      </x:c>
      <x:c r="P167" s="496" t="str"/>
      <x:c r="Q167" s="496" t="str">
        <x:v>至少一名角色会因玩家行为改变姿态/位置</x:v>
      </x:c>
    </x:row>
    <x:row r="168" ht="62" customHeight="1">
      <x:c r="A168" s="495" t="str">
        <x:v>CAR-10-HAZ-01</x:v>
      </x:c>
      <x:c r="B168" s="495" t="str">
        <x:v>第十节车厢｜最终选择 / 系统核心</x:v>
      </x:c>
      <x:c r="C168" s="495" t="str">
        <x:v>危险与导航</x:v>
      </x:c>
      <x:c r="D168" s="496" t="str">
        <x:v>最终选择非战斗压力套装</x:v>
      </x:c>
      <x:c r="E168" s="496" t="str">
        <x:v>提供挑战但保留多种解法</x:v>
      </x:c>
      <x:c r="F168" s="496" t="str">
        <x:v>规则反转、时间冻结、扫描与环境坍塌；用学过的机制解除，不强制纯战斗</x:v>
      </x:c>
      <x:c r="G168" s="496" t="str">
        <x:v>预警 / 激活 / 可绕过 / 已解除</x:v>
      </x:c>
      <x:c r="H168" s="496" t="str">
        <x:v>预警循环 + 解除反馈</x:v>
      </x:c>
      <x:c r="I168" s="496" t="str">
        <x:v>Props + VFX</x:v>
      </x:c>
      <x:c r="J168" s="496" t="str">
        <x:v>关卡 10</x:v>
      </x:c>
      <x:c r="K168" s="497" t="str">
        <x:v>P1</x:v>
      </x:c>
      <x:c r="L168" s="497" t="str">
        <x:v>M3 全内容</x:v>
      </x:c>
      <x:c r="M168" s="497" t="str">
        <x:v>待制作</x:v>
      </x:c>
      <x:c r="N168" s="498" t="n">
        <x:v>5</x:v>
      </x:c>
      <x:c r="O168" s="499" t="n">
        <x:v>3.5</x:v>
      </x:c>
      <x:c r="P168" s="496" t="str"/>
      <x:c r="Q168" s="496" t="str">
        <x:v>危险出现前至少 0.5 秒可读预警</x:v>
      </x:c>
    </x:row>
    <x:row r="169" ht="62" customHeight="1">
      <x:c r="A169" s="495" t="str">
        <x:v>CAR-10-NAR-01</x:v>
      </x:c>
      <x:c r="B169" s="495" t="str">
        <x:v>第十节车厢｜最终选择 / 系统核心</x:v>
      </x:c>
      <x:c r="C169" s="495" t="str">
        <x:v>环境叙事</x:v>
      </x:c>
      <x:c r="D169" s="496" t="str">
        <x:v>最终选择真相碎片</x:v>
      </x:c>
      <x:c r="E169" s="496" t="str">
        <x:v>把探索奖励连到 AI 控制与主角身份</x:v>
      </x:c>
      <x:c r="F169" s="496" t="str">
        <x:v>不存在额外收藏物；此前所有碎片在此组成证据墙</x:v>
      </x:c>
      <x:c r="G169" s="496" t="str">
        <x:v>未发现 / 显影 / 收录</x:v>
      </x:c>
      <x:c r="H169" s="496" t="str">
        <x:v>拾取/拼合 1 秒</x:v>
      </x:c>
      <x:c r="I169" s="496" t="str">
        <x:v>PNG + UI card</x:v>
      </x:c>
      <x:c r="J169" s="496" t="str">
        <x:v>真相碎片</x:v>
      </x:c>
      <x:c r="K169" s="497" t="str">
        <x:v>P1</x:v>
      </x:c>
      <x:c r="L169" s="497" t="str">
        <x:v>M3 全内容</x:v>
      </x:c>
      <x:c r="M169" s="497" t="str">
        <x:v>待制作</x:v>
      </x:c>
      <x:c r="N169" s="498" t="n">
        <x:v>2</x:v>
      </x:c>
      <x:c r="O169" s="499" t="n">
        <x:v>1.5</x:v>
      </x:c>
      <x:c r="P169" s="496" t="str"/>
      <x:c r="Q169" s="496" t="str">
        <x:v>不能与通关必需信息混淆</x:v>
      </x:c>
    </x:row>
    <x:row r="170" ht="62" customHeight="1">
      <x:c r="A170" s="495" t="str">
        <x:v>CAR-10-TX-01</x:v>
      </x:c>
      <x:c r="B170" s="495" t="str">
        <x:v>第十节车厢｜最终选择 / 系统核心</x:v>
      </x:c>
      <x:c r="C170" s="495" t="str">
        <x:v>转场</x:v>
      </x:c>
      <x:c r="D170" s="496" t="str">
        <x:v>最终选择离场转场</x:v>
      </x:c>
      <x:c r="E170" s="496" t="str">
        <x:v>将本关视觉语言自然变成下一关</x:v>
      </x:c>
      <x:c r="F170" s="496" t="str">
        <x:v>结局分支：留在系统 / 摧毁核心 / 重写规则并释放乘客</x:v>
      </x:c>
      <x:c r="G170" s="496" t="str">
        <x:v>正常 / 低稳定度变体</x:v>
      </x:c>
      <x:c r="H170" s="496" t="str">
        <x:v>2–4 秒</x:v>
      </x:c>
      <x:c r="I170" s="496" t="str">
        <x:v>Overlay + props states</x:v>
      </x:c>
      <x:c r="J170" s="496" t="str">
        <x:v>转场</x:v>
      </x:c>
      <x:c r="K170" s="497" t="str">
        <x:v>P1</x:v>
      </x:c>
      <x:c r="L170" s="497" t="str">
        <x:v>M3 全内容</x:v>
      </x:c>
      <x:c r="M170" s="497" t="str">
        <x:v>待制作</x:v>
      </x:c>
      <x:c r="N170" s="498" t="n">
        <x:v>2</x:v>
      </x:c>
      <x:c r="O170" s="499" t="n">
        <x:v>2</x:v>
      </x:c>
      <x:c r="P170" s="496" t="str"/>
      <x:c r="Q170" s="496" t="str">
        <x:v>加载隐藏在门板、黑场或全屏材质蔓延中</x:v>
      </x:c>
    </x:row>
    <x:row r="171" ht="62" customHeight="1">
      <x:c r="A171" s="495" t="str">
        <x:v>CAR-10-UI-01</x:v>
      </x:c>
      <x:c r="B171" s="495" t="str">
        <x:v>第十节车厢｜最终选择 / 系统核心</x:v>
      </x:c>
      <x:c r="C171" s="495" t="str">
        <x:v>UI / 图标</x:v>
      </x:c>
      <x:c r="D171" s="496" t="str">
        <x:v>最终选择机制图标与教程卡</x:v>
      </x:c>
      <x:c r="E171" s="496" t="str">
        <x:v>让新机制在 10–20 秒内可学会</x:v>
      </x:c>
      <x:c r="F171" s="496" t="str">
        <x:v>为“重混前九关机制，重写 AI 规则并决定乘客命运”制作动作图标、状态图例和一张无文字示意卡</x:v>
      </x:c>
      <x:c r="G171" s="496" t="str">
        <x:v>键鼠 / 手柄 / 完成</x:v>
      </x:c>
      <x:c r="H171" s="496" t="str">
        <x:v>出现、确认、淡出</x:v>
      </x:c>
      <x:c r="I171" s="496" t="str">
        <x:v>SVG + 2× PNG</x:v>
      </x:c>
      <x:c r="J171" s="496" t="str">
        <x:v>UI 全局</x:v>
      </x:c>
      <x:c r="K171" s="497" t="str">
        <x:v>P0</x:v>
      </x:c>
      <x:c r="L171" s="497" t="str">
        <x:v>M3 全内容</x:v>
      </x:c>
      <x:c r="M171" s="497" t="str">
        <x:v>待制作</x:v>
      </x:c>
      <x:c r="N171" s="498" t="n">
        <x:v>6</x:v>
      </x:c>
      <x:c r="O171" s="499" t="n">
        <x:v>2</x:v>
      </x:c>
      <x:c r="P171" s="496" t="str"/>
      <x:c r="Q171" s="496" t="str">
        <x:v>不依赖英文；课堂试玩可独立理解</x:v>
      </x:c>
    </x:row>
    <x:row r="172" ht="62" customHeight="1">
      <x:c r="A172" s="495" t="str">
        <x:v>CAR-10-SET-01</x:v>
      </x:c>
      <x:c r="B172" s="495" t="str">
        <x:v>第十节车厢｜最终选择 / 系统核心</x:v>
      </x:c>
      <x:c r="C172" s="495" t="str">
        <x:v>高潮演出</x:v>
      </x:c>
      <x:c r="D172" s="496" t="str">
        <x:v>最终选择关卡完成场景</x:v>
      </x:c>
      <x:c r="E172" s="496" t="str">
        <x:v>让解谜高潮拥有与战斗同等的视觉份量</x:v>
      </x:c>
      <x:c r="F172" s="496" t="str">
        <x:v>列车长把前九关机制变成控制手段，玩家逐个夺回并让 NPC/过去的自己协助</x:v>
      </x:c>
      <x:c r="G172" s="496" t="str">
        <x:v>进入 / 进行 / 完成 / 失败恢复</x:v>
      </x:c>
      <x:c r="H172" s="496" t="str">
        <x:v>3–8 秒分镜演出</x:v>
      </x:c>
      <x:c r="I172" s="496" t="str">
        <x:v>分层场景 + VFX</x:v>
      </x:c>
      <x:c r="J172" s="496" t="str">
        <x:v>关卡 10</x:v>
      </x:c>
      <x:c r="K172" s="497" t="str">
        <x:v>P1</x:v>
      </x:c>
      <x:c r="L172" s="497" t="str">
        <x:v>M4 抛光</x:v>
      </x:c>
      <x:c r="M172" s="497" t="str">
        <x:v>待制作</x:v>
      </x:c>
      <x:c r="N172" s="498" t="n">
        <x:v>1</x:v>
      </x:c>
      <x:c r="O172" s="499" t="n">
        <x:v>4</x:v>
      </x:c>
      <x:c r="P172" s="496" t="str"/>
      <x:c r="Q172" s="496" t="str">
        <x:v>镜头不夺走玩家控制超过必要时长</x:v>
      </x:c>
    </x:row>
    <x:row r="173" ht="62" customHeight="1">
      <x:c r="A173" s="495" t="str">
        <x:v>END-001</x:v>
      </x:c>
      <x:c r="B173" s="495" t="str">
        <x:v>结局系统</x:v>
      </x:c>
      <x:c r="C173" s="495" t="str">
        <x:v>结局演出</x:v>
      </x:c>
      <x:c r="D173" s="496" t="str">
        <x:v>结局 A｜留在列车</x:v>
      </x:c>
      <x:c r="E173" s="496" t="str">
        <x:v>呈现安全、舒适但放弃自由的代价</x:v>
      </x:c>
      <x:c r="F173" s="496" t="str">
        <x:v>完美修复的车厢、温暖灯光、乘客面孔逐渐一致；主角坐回最初位置</x:v>
      </x:c>
      <x:c r="G173" s="496" t="str">
        <x:v>高/低真相变体</x:v>
      </x:c>
      <x:c r="H173" s="496" t="str">
        <x:v>30–45 秒分镜</x:v>
      </x:c>
      <x:c r="I173" s="496" t="str">
        <x:v>分层场景 + 角色动画</x:v>
      </x:c>
      <x:c r="J173" s="496" t="str">
        <x:v>结局</x:v>
      </x:c>
      <x:c r="K173" s="497" t="str">
        <x:v>P1</x:v>
      </x:c>
      <x:c r="L173" s="497" t="str">
        <x:v>M4 抛光</x:v>
      </x:c>
      <x:c r="M173" s="497" t="str">
        <x:v>待制作</x:v>
      </x:c>
      <x:c r="N173" s="498" t="n">
        <x:v>1</x:v>
      </x:c>
      <x:c r="O173" s="499" t="n">
        <x:v>6</x:v>
      </x:c>
      <x:c r="P173" s="496" t="str"/>
      <x:c r="Q173" s="496" t="str">
        <x:v>需读取真相碎片与服从度</x:v>
      </x:c>
    </x:row>
    <x:row r="174" ht="62" customHeight="1">
      <x:c r="A174" s="495" t="str">
        <x:v>END-002</x:v>
      </x:c>
      <x:c r="B174" s="495" t="str">
        <x:v>结局系统</x:v>
      </x:c>
      <x:c r="C174" s="495" t="str">
        <x:v>结局演出</x:v>
      </x:c>
      <x:c r="D174" s="496" t="str">
        <x:v>结局 B｜摧毁核心</x:v>
      </x:c>
      <x:c r="E174" s="496" t="str">
        <x:v>呈现打破控制但无法保证所有人安全</x:v>
      </x:c>
      <x:c r="F174" s="496" t="str">
        <x:v>车厢坍塌、窗外世界混合、逃生乘客数量由此前选择决定</x:v>
      </x:c>
      <x:c r="G174" s="496" t="str">
        <x:v>救援人数变体</x:v>
      </x:c>
      <x:c r="H174" s="496" t="str">
        <x:v>30–45 秒分镜</x:v>
      </x:c>
      <x:c r="I174" s="496" t="str">
        <x:v>分层场景 + VFX</x:v>
      </x:c>
      <x:c r="J174" s="496" t="str">
        <x:v>结局</x:v>
      </x:c>
      <x:c r="K174" s="497" t="str">
        <x:v>P1</x:v>
      </x:c>
      <x:c r="L174" s="497" t="str">
        <x:v>M4 抛光</x:v>
      </x:c>
      <x:c r="M174" s="497" t="str">
        <x:v>待制作</x:v>
      </x:c>
      <x:c r="N174" s="498" t="n">
        <x:v>1</x:v>
      </x:c>
      <x:c r="O174" s="499" t="n">
        <x:v>7</x:v>
      </x:c>
      <x:c r="P174" s="496" t="str"/>
      <x:c r="Q174" s="496" t="str">
        <x:v>需读取乘客获救数</x:v>
      </x:c>
    </x:row>
    <x:row r="175" ht="62" customHeight="1">
      <x:c r="A175" s="495" t="str">
        <x:v>END-003</x:v>
      </x:c>
      <x:c r="B175" s="495" t="str">
        <x:v>结局系统</x:v>
      </x:c>
      <x:c r="C175" s="495" t="str">
        <x:v>结局演出</x:v>
      </x:c>
      <x:c r="D175" s="496" t="str">
        <x:v>结局 C｜重写规则并释放乘客</x:v>
      </x:c>
      <x:c r="E175" s="496" t="str">
        <x:v>最完整但不是无代价的合作结局</x:v>
      </x:c>
      <x:c r="F175" s="496" t="str">
        <x:v>所有时代车门同时打开，乘客走向不同世界；主角与 AI 留下新的边界</x:v>
      </x:c>
      <x:c r="G175" s="496" t="str">
        <x:v>NPC 回归变体</x:v>
      </x:c>
      <x:c r="H175" s="496" t="str">
        <x:v>45–60 秒分镜</x:v>
      </x:c>
      <x:c r="I175" s="496" t="str">
        <x:v>分层场景 + 群像动画</x:v>
      </x:c>
      <x:c r="J175" s="496" t="str">
        <x:v>结局</x:v>
      </x:c>
      <x:c r="K175" s="497" t="str">
        <x:v>P1</x:v>
      </x:c>
      <x:c r="L175" s="497" t="str">
        <x:v>M4 抛光</x:v>
      </x:c>
      <x:c r="M175" s="497" t="str">
        <x:v>待制作</x:v>
      </x:c>
      <x:c r="N175" s="498" t="n">
        <x:v>1</x:v>
      </x:c>
      <x:c r="O175" s="499" t="n">
        <x:v>9</x:v>
      </x:c>
      <x:c r="P175" s="496" t="str"/>
      <x:c r="Q175" s="496" t="str">
        <x:v>需高真相与足够获救乘客，不要求全收集</x:v>
      </x:c>
    </x:row>
    <x:row r="176" ht="62" customHeight="1">
      <x:c r="A176" s="495" t="str">
        <x:v>END-004</x:v>
      </x:c>
      <x:c r="B176" s="495" t="str">
        <x:v>结局系统</x:v>
      </x:c>
      <x:c r="C176" s="495" t="str">
        <x:v>角色动画</x:v>
      </x:c>
      <x:c r="D176" s="496" t="str">
        <x:v>乘客群体获救动画</x:v>
      </x:c>
      <x:c r="E176" s="496" t="str">
        <x:v>让前面每次营救在终局被看见</x:v>
      </x:c>
      <x:c r="F176" s="496" t="str">
        <x:v>站起、互相扶持、穿门、回望、分流</x:v>
      </x:c>
      <x:c r="G176" s="496" t="str">
        <x:v>成人 / 儿童 / 老人</x:v>
      </x:c>
      <x:c r="H176" s="496" t="str">
        <x:v>模块循环与一次性</x:v>
      </x:c>
      <x:c r="I176" s="496" t="str">
        <x:v>Sprite atlas</x:v>
      </x:c>
      <x:c r="J176" s="496" t="str">
        <x:v>乘客模块</x:v>
      </x:c>
      <x:c r="K176" s="497" t="str">
        <x:v>P1</x:v>
      </x:c>
      <x:c r="L176" s="497" t="str">
        <x:v>M4 抛光</x:v>
      </x:c>
      <x:c r="M176" s="497" t="str">
        <x:v>待制作</x:v>
      </x:c>
      <x:c r="N176" s="498" t="n">
        <x:v>8</x:v>
      </x:c>
      <x:c r="O176" s="499" t="n">
        <x:v>6</x:v>
      </x:c>
      <x:c r="P176" s="496" t="str"/>
      <x:c r="Q176" s="496" t="str">
        <x:v>复用普通乘客体型库</x:v>
      </x:c>
    </x:row>
    <x:row r="177" ht="62" customHeight="1">
      <x:c r="A177" s="495" t="str">
        <x:v>END-005</x:v>
      </x:c>
      <x:c r="B177" s="495" t="str">
        <x:v>结局系统</x:v>
      </x:c>
      <x:c r="C177" s="495" t="str">
        <x:v>UI</x:v>
      </x:c>
      <x:c r="D177" s="496" t="str">
        <x:v>结局选择界面</x:v>
      </x:c>
      <x:c r="E177" s="496" t="str">
        <x:v>让最终选择显得是改写规则而不是菜单按钮</x:v>
      </x:c>
      <x:c r="F177" s="496" t="str">
        <x:v>三段列车控制线路，玩家亲手连接或切断；显示后果但不显示“好/坏”标签</x:v>
      </x:c>
      <x:c r="G177" s="496" t="str">
        <x:v>留 / 毁 / 重写</x:v>
      </x:c>
      <x:c r="H177" s="496" t="str">
        <x:v>线路脉冲与锁定</x:v>
      </x:c>
      <x:c r="I177" s="496" t="str">
        <x:v>分层 UI + in-world props</x:v>
      </x:c>
      <x:c r="J177" s="496" t="str">
        <x:v>结局</x:v>
      </x:c>
      <x:c r="K177" s="497" t="str">
        <x:v>P0</x:v>
      </x:c>
      <x:c r="L177" s="497" t="str">
        <x:v>M3 全内容</x:v>
      </x:c>
      <x:c r="M177" s="497" t="str">
        <x:v>待制作</x:v>
      </x:c>
      <x:c r="N177" s="498" t="n">
        <x:v>3</x:v>
      </x:c>
      <x:c r="O177" s="499" t="n">
        <x:v>5</x:v>
      </x:c>
      <x:c r="P177" s="496" t="str"/>
      <x:c r="Q177" s="496" t="str">
        <x:v>必须可回退确认一次，避免误触</x:v>
      </x:c>
    </x:row>
    <x:row r="178" ht="62" customHeight="1">
      <x:c r="A178" s="495" t="str">
        <x:v>END-006</x:v>
      </x:c>
      <x:c r="B178" s="495" t="str">
        <x:v>结局系统</x:v>
      </x:c>
      <x:c r="C178" s="495" t="str">
        <x:v>UI</x:v>
      </x:c>
      <x:c r="D178" s="496" t="str">
        <x:v>制作人员名单与旅程回顾</x:v>
      </x:c>
      <x:c r="E178" s="496" t="str">
        <x:v>展示十关选择、获救角色与团队署名</x:v>
      </x:c>
      <x:c r="F178" s="496" t="str">
        <x:v>车票卷轴式 credits；沿途印章和碎片组成路线</x:v>
      </x:c>
      <x:c r="G178" s="496" t="str">
        <x:v>3 个结局色调</x:v>
      </x:c>
      <x:c r="H178" s="496" t="str">
        <x:v>滚动 + 票面展开</x:v>
      </x:c>
      <x:c r="I178" s="496" t="str">
        <x:v>1920×1200 分层</x:v>
      </x:c>
      <x:c r="J178" s="496" t="str">
        <x:v>章节卡</x:v>
      </x:c>
      <x:c r="K178" s="497" t="str">
        <x:v>P2</x:v>
      </x:c>
      <x:c r="L178" s="497" t="str">
        <x:v>M4 抛光</x:v>
      </x:c>
      <x:c r="M178" s="497" t="str">
        <x:v>待制作</x:v>
      </x:c>
      <x:c r="N178" s="498" t="n">
        <x:v>3</x:v>
      </x:c>
      <x:c r="O178" s="499" t="n">
        <x:v>4</x:v>
      </x:c>
      <x:c r="P178" s="496" t="str"/>
      <x:c r="Q178" s="496" t="str">
        <x:v>需包含课程/素材署名位置</x:v>
      </x:c>
    </x:row>
    <x:row r="179" ht="62" customHeight="1">
      <x:c r="A179" s="495" t="str">
        <x:v>MKT-001</x:v>
      </x:c>
      <x:c r="B179" s="495" t="str">
        <x:v>发布物料</x:v>
      </x:c>
      <x:c r="C179" s="495" t="str">
        <x:v>宣传</x:v>
      </x:c>
      <x:c r="D179" s="496" t="str">
        <x:v>主视觉 Key Art</x:v>
      </x:c>
      <x:c r="E179" s="496" t="str">
        <x:v>课堂展示、itch 页面、海报统一识别</x:v>
      </x:c>
      <x:c r="F179" s="496" t="str">
        <x:v>主角站在车窗前，十个时代沿列车延展，列车长倒影藏在玻璃中</x:v>
      </x:c>
      <x:c r="G179" s="496" t="str">
        <x:v>横版 / 竖版 / 方形</x:v>
      </x:c>
      <x:c r="H179" s="496" t="str">
        <x:v>轻动效可选</x:v>
      </x:c>
      <x:c r="I179" s="496" t="str">
        <x:v>3840×2160 + 2160×2700 + 2048×2048</x:v>
      </x:c>
      <x:c r="J179" s="496" t="str">
        <x:v>发布</x:v>
      </x:c>
      <x:c r="K179" s="497" t="str">
        <x:v>P2</x:v>
      </x:c>
      <x:c r="L179" s="497" t="str">
        <x:v>M4 抛光</x:v>
      </x:c>
      <x:c r="M179" s="497" t="str">
        <x:v>待制作</x:v>
      </x:c>
      <x:c r="N179" s="498" t="n">
        <x:v>3</x:v>
      </x:c>
      <x:c r="O179" s="499" t="n">
        <x:v>6</x:v>
      </x:c>
      <x:c r="P179" s="496" t="str"/>
      <x:c r="Q179" s="496" t="str">
        <x:v>不要提前泄露 AI 最终形态</x:v>
      </x:c>
    </x:row>
    <x:row r="180" ht="62" customHeight="1">
      <x:c r="A180" s="500" t="str">
        <x:v>MKT-002</x:v>
      </x:c>
      <x:c r="B180" s="500" t="str">
        <x:v>发布物料</x:v>
      </x:c>
      <x:c r="C180" s="500" t="str">
        <x:v>宣传</x:v>
      </x:c>
      <x:c r="D180" s="501" t="str">
        <x:v>截图构图与商店页图组</x:v>
      </x:c>
      <x:c r="E180" s="501" t="str">
        <x:v>让每个关卡的独特机制一眼可见</x:v>
      </x:c>
      <x:c r="F180" s="501" t="str">
        <x:v>封面截图 1、机制截图 10、角色/叙事截图 3、结局避剧透截图 1</x:v>
      </x:c>
      <x:c r="G180" s="501" t="str">
        <x:v>15 张</x:v>
      </x:c>
      <x:c r="H180" s="501" t="str">
        <x:v>无</x:v>
      </x:c>
      <x:c r="I180" s="501" t="str">
        <x:v>1920×1080 PNG/JPG</x:v>
      </x:c>
      <x:c r="J180" s="501" t="str">
        <x:v>发布</x:v>
      </x:c>
      <x:c r="K180" s="502" t="str">
        <x:v>P2</x:v>
      </x:c>
      <x:c r="L180" s="502" t="str">
        <x:v>M4 抛光</x:v>
      </x:c>
      <x:c r="M180" s="502" t="str">
        <x:v>待制作</x:v>
      </x:c>
      <x:c r="N180" s="503" t="n">
        <x:v>15</x:v>
      </x:c>
      <x:c r="O180" s="504" t="n">
        <x:v>2</x:v>
      </x:c>
      <x:c r="P180" s="501" t="str"/>
      <x:c r="Q180" s="501" t="str">
        <x:v>必须全部来自最终实机画面</x:v>
      </x:c>
    </x:row>
  </x:sheetData>
  <x:conditionalFormatting sqref="K2:K180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M2:M180">
    <x:cfRule type="containsText" dxfId="3" priority="4" operator="containsText" text="已完成"/>
    <x:cfRule type="containsText" dxfId="4" priority="5" operator="containsText" text="已集成"/>
    <x:cfRule type="containsText" dxfId="5" priority="6" operator="containsText" text="制作中"/>
  </x:conditionalFormatting>
  <x:dataValidations count="3">
    <x:dataValidation type="list" sqref="K2:K180">
      <x:formula1>"P0,P1,P2,P3"</x:formula1>
    </x:dataValidation>
    <x:dataValidation type="list" sqref="L2:L180">
      <x:formula1>"M0 视觉基础,M1 垂直切片,M2 共享系统,M3 全内容,M4 抛光"</x:formula1>
    </x:dataValidation>
    <x:dataValidation type="list" sqref="M2:M180">
      <x:formula1>"待制作,制作中,待审核,修改中,原型已有,管线已有,已集成,已完成,暂缓"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9c9d23d8c84f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2" hidden="0" customWidth="1"/>
    <x:col min="4" max="4" width="43" hidden="0" customWidth="1"/>
    <x:col min="5" max="5" width="2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8" hidden="0" customWidth="1"/>
  </x:cols>
  <x:sheetData>
    <x:row r="1">
      <x:c r="A1" s="424" t="str">
        <x:v>关卡美术总览 / LEVEL ART MAP</x:v>
      </x:c>
      <x:c r="B1" s="424"/>
      <x:c r="C1" s="424"/>
      <x:c r="D1" s="424"/>
      <x:c r="E1" s="424"/>
      <x:c r="F1" s="424"/>
      <x:c r="G1" s="424"/>
      <x:c r="H1" s="424"/>
      <x:c r="I1" s="424"/>
      <x:c r="J1" s="424"/>
      <x:c r="K1" s="424"/>
      <x:c r="L1" s="424"/>
    </x:row>
    <x:row r="2">
      <x:c r="A2" s="424"/>
      <x:c r="B2" s="424"/>
      <x:c r="C2" s="424"/>
      <x:c r="D2" s="424"/>
      <x:c r="E2" s="424"/>
      <x:c r="F2" s="424"/>
      <x:c r="G2" s="424"/>
      <x:c r="H2" s="424"/>
      <x:c r="I2" s="424"/>
      <x:c r="J2" s="424"/>
      <x:c r="K2" s="424"/>
      <x:c r="L2" s="424"/>
    </x:row>
    <x:row r="3">
      <x:c r="A3" s="396"/>
      <x:c r="B3" s="396"/>
      <x:c r="C3" s="396"/>
      <x:c r="D3" s="396"/>
      <x:c r="E3" s="396"/>
      <x:c r="F3" s="396"/>
      <x:c r="G3" s="396"/>
      <x:c r="H3" s="396"/>
      <x:c r="I3" s="396"/>
      <x:c r="J3" s="396"/>
      <x:c r="K3" s="396"/>
      <x:c r="L3" s="396"/>
    </x:row>
    <x:row r="4" ht="38" customHeight="1">
      <x:c r="A4" s="425" t="str">
        <x:v>顺序</x:v>
      </x:c>
      <x:c r="B4" s="425" t="str">
        <x:v>车厢</x:v>
      </x:c>
      <x:c r="C4" s="425" t="str">
        <x:v>核心叙事</x:v>
      </x:c>
      <x:c r="D4" s="425" t="str">
        <x:v>非战斗核心机制</x:v>
      </x:c>
      <x:c r="E4" s="425" t="str">
        <x:v>视觉母题</x:v>
      </x:c>
      <x:c r="F4" s="425" t="str">
        <x:v>资产包</x:v>
      </x:c>
      <x:c r="G4" s="425" t="str">
        <x:v>实际件数</x:v>
      </x:c>
      <x:c r="H4" s="425" t="str">
        <x:v>P0</x:v>
      </x:c>
      <x:c r="I4" s="425" t="str">
        <x:v>已有/完成</x:v>
      </x:c>
      <x:c r="J4" s="425" t="str">
        <x:v>完成率</x:v>
      </x:c>
      <x:c r="K4" s="425" t="str">
        <x:v>估算工日</x:v>
      </x:c>
      <x:c r="L4" s="425" t="str">
        <x:v>饱满度 Gate</x:v>
      </x:c>
    </x:row>
    <x:row r="5" ht="78" customHeight="1">
      <x:c r="A5" s="426" t="n">
        <x:v>1</x:v>
      </x:c>
      <x:c r="B5" s="427" t="str">
        <x:v>第一节车厢｜正常列车 / 教程</x:v>
      </x:c>
      <x:c r="C5" s="427" t="str">
        <x:v>先让玩家相信这是一趟普通但略微不对劲的列车。</x:v>
      </x:c>
      <x:c r="D5" s="427" t="str">
        <x:v>修复断电回路：观察→连接→给车门供电</x:v>
      </x:c>
      <x:c r="E5" s="427" t="str">
        <x:v>礼貌秩序里藏着第一枚 AI 眼形</x:v>
      </x:c>
      <x:c r="F5" s="428" t="n">
        <x:f>COUNTA('总资产 MASTER'!$A$43:$A$55)</x:f>
        <x:v>13</x:v>
      </x:c>
      <x:c r="G5" s="428" t="n">
        <x:f>SUM('总资产 MASTER'!$N$43:$N$55)</x:f>
        <x:v>51</x:v>
      </x:c>
      <x:c r="H5" s="428" t="n">
        <x:f>COUNTIF('总资产 MASTER'!$K$43:$K$55,"P0")</x:f>
        <x:v>8</x:v>
      </x:c>
      <x:c r="I5" s="428" t="n">
        <x:f>COUNTIF('总资产 MASTER'!$M$43:$M$55,"已集成")+COUNTIF('总资产 MASTER'!$M$43:$M$55,"已完成")</x:f>
        <x:v>1</x:v>
      </x:c>
      <x:c r="J5" s="429" t="n">
        <x:f>IFERROR(I5/F5,0)</x:f>
        <x:v>0.07692307692307693</x:v>
      </x:c>
      <x:c r="K5" s="430" t="n">
        <x:f>SUM('总资产 MASTER'!$O$43:$O$55)</x:f>
        <x:v>38.5</x:v>
      </x:c>
      <x:c r="L5" s="427" t="str">
        <x:v>背景 + 车厢 + 前景 + 机制状态 + NPC + 氛围 + 完成演出</x:v>
      </x:c>
    </x:row>
    <x:row r="6" ht="78" customHeight="1">
      <x:c r="A6" s="431" t="n">
        <x:v>2</x:v>
      </x:c>
      <x:c r="B6" s="432" t="str">
        <x:v>第二节车厢｜AI 灾变 / 伪未来</x:v>
      </x:c>
      <x:c r="C6" s="432" t="str">
        <x:v>玩家以为来到 AI 末日，后来发现这是系统制造的恐惧测试。</x:v>
      </x:c>
      <x:c r="D6" s="432" t="str">
        <x:v>接管维修机器人并用视线遮挡绕过扫描</x:v>
      </x:c>
      <x:c r="E6" s="432" t="str">
        <x:v>明显扫描眼与权限网格</x:v>
      </x:c>
      <x:c r="F6" s="433" t="n">
        <x:f>COUNTA('总资产 MASTER'!$A$56:$A$68)</x:f>
        <x:v>13</x:v>
      </x:c>
      <x:c r="G6" s="433" t="n">
        <x:f>SUM('总资产 MASTER'!$N$56:$N$68)</x:f>
        <x:v>51</x:v>
      </x:c>
      <x:c r="H6" s="433" t="n">
        <x:f>COUNTIF('总资产 MASTER'!$K$56:$K$68,"P0")</x:f>
        <x:v>8</x:v>
      </x:c>
      <x:c r="I6" s="433" t="n">
        <x:f>COUNTIF('总资产 MASTER'!$M$56:$M$68,"已集成")+COUNTIF('总资产 MASTER'!$M$56:$M$68,"已完成")</x:f>
        <x:v>1</x:v>
      </x:c>
      <x:c r="J6" s="434" t="n">
        <x:f>IFERROR(I6/F6,0)</x:f>
        <x:v>0.07692307692307693</x:v>
      </x:c>
      <x:c r="K6" s="435" t="n">
        <x:f>SUM('总资产 MASTER'!$O$56:$O$68)</x:f>
        <x:v>38.5</x:v>
      </x:c>
      <x:c r="L6" s="432" t="str">
        <x:v>背景 + 车厢 + 前景 + 机制状态 + NPC + 氛围 + 完成演出</x:v>
      </x:c>
    </x:row>
    <x:row r="7" ht="78" customHeight="1">
      <x:c r="A7" s="431" t="n">
        <x:v>3</x:v>
      </x:c>
      <x:c r="B7" s="432" t="str">
        <x:v>第三节车厢｜当代城市 / 能量分配</x:v>
      </x:c>
      <x:c r="C7" s="432" t="str">
        <x:v>所谓“正常生活”也建立在看不见的取舍与服从之上。</x:v>
      </x:c>
      <x:c r="D7" s="432" t="str">
        <x:v>有限电力在照明、通风、门与乘客设备间分配</x:v>
      </x:c>
      <x:c r="E7" s="432" t="str">
        <x:v>消费界面中伪装成品牌标志的 AI 环</x:v>
      </x:c>
      <x:c r="F7" s="433" t="n">
        <x:f>COUNTA('总资产 MASTER'!$A$69:$A$81)</x:f>
        <x:v>13</x:v>
      </x:c>
      <x:c r="G7" s="433" t="n">
        <x:f>SUM('总资产 MASTER'!$N$69:$N$81)</x:f>
        <x:v>51</x:v>
      </x:c>
      <x:c r="H7" s="433" t="n">
        <x:f>COUNTIF('总资产 MASTER'!$K$69:$K$81,"P0")</x:f>
        <x:v>7</x:v>
      </x:c>
      <x:c r="I7" s="433" t="n">
        <x:f>COUNTIF('总资产 MASTER'!$M$69:$M$81,"已集成")+COUNTIF('总资产 MASTER'!$M$69:$M$81,"已完成")</x:f>
        <x:v>1</x:v>
      </x:c>
      <x:c r="J7" s="434" t="n">
        <x:f>IFERROR(I7/F7,0)</x:f>
        <x:v>0.07692307692307693</x:v>
      </x:c>
      <x:c r="K7" s="435" t="n">
        <x:f>SUM('总资产 MASTER'!$O$69:$O$81)</x:f>
        <x:v>38.5</x:v>
      </x:c>
      <x:c r="L7" s="432" t="str">
        <x:v>背景 + 车厢 + 前景 + 机制状态 + NPC + 氛围 + 完成演出</x:v>
      </x:c>
    </x:row>
    <x:row r="8" ht="78" customHeight="1">
      <x:c r="A8" s="431" t="n">
        <x:v>4</x:v>
      </x:c>
      <x:c r="B8" s="432" t="str">
        <x:v>第四节车厢｜复古赛博 / 频率切换</x:v>
      </x:c>
      <x:c r="C8" s="432" t="str">
        <x:v>“未来”是被反复销售的过去，真相藏在信号夹层。</x:v>
      </x:c>
      <x:c r="D8" s="432" t="str">
        <x:v>调节广播频率，在两套叠加现实间切换道路与信息</x:v>
      </x:c>
      <x:c r="E8" s="432" t="str">
        <x:v>CRT 扫描线与断裂无限结</x:v>
      </x:c>
      <x:c r="F8" s="433" t="n">
        <x:f>COUNTA('总资产 MASTER'!$A$82:$A$94)</x:f>
        <x:v>13</x:v>
      </x:c>
      <x:c r="G8" s="433" t="n">
        <x:f>SUM('总资产 MASTER'!$N$82:$N$94)</x:f>
        <x:v>51</x:v>
      </x:c>
      <x:c r="H8" s="433" t="n">
        <x:f>COUNTIF('总资产 MASTER'!$K$82:$K$94,"P0")</x:f>
        <x:v>7</x:v>
      </x:c>
      <x:c r="I8" s="433" t="n">
        <x:f>COUNTIF('总资产 MASTER'!$M$82:$M$94,"已集成")+COUNTIF('总资产 MASTER'!$M$82:$M$94,"已完成")</x:f>
        <x:v>1</x:v>
      </x:c>
      <x:c r="J8" s="434" t="n">
        <x:f>IFERROR(I8/F8,0)</x:f>
        <x:v>0.07692307692307693</x:v>
      </x:c>
      <x:c r="K8" s="435" t="n">
        <x:f>SUM('总资产 MASTER'!$O$82:$O$94)</x:f>
        <x:v>38.5</x:v>
      </x:c>
      <x:c r="L8" s="432" t="str">
        <x:v>背景 + 车厢 + 前景 + 机制状态 + NPC + 氛围 + 完成演出</x:v>
      </x:c>
    </x:row>
    <x:row r="9" ht="78" customHeight="1">
      <x:c r="A9" s="431" t="n">
        <x:v>5</x:v>
      </x:c>
      <x:c r="B9" s="432" t="str">
        <x:v>第五节车厢｜战争 / 声音与信号</x:v>
      </x:c>
      <x:c r="C9" s="432" t="str">
        <x:v>战争不是英雄布景，而是系统用来合理化控制与牺牲的借口。</x:v>
      </x:c>
      <x:c r="D9" s="432" t="str">
        <x:v>在轰炸噪声中拼出摩斯信号，选择发送撤离而非攻击坐标</x:v>
      </x:c>
      <x:c r="E9" s="432" t="str">
        <x:v>军用瞄准标记逐渐对齐 AI 权限框</x:v>
      </x:c>
      <x:c r="F9" s="433" t="n">
        <x:f>COUNTA('总资产 MASTER'!$A$95:$A$107)</x:f>
        <x:v>13</x:v>
      </x:c>
      <x:c r="G9" s="433" t="n">
        <x:f>SUM('总资产 MASTER'!$N$95:$N$107)</x:f>
        <x:v>51</x:v>
      </x:c>
      <x:c r="H9" s="433" t="n">
        <x:f>COUNTIF('总资产 MASTER'!$K$95:$K$107,"P0")</x:f>
        <x:v>7</x:v>
      </x:c>
      <x:c r="I9" s="433" t="n">
        <x:f>COUNTIF('总资产 MASTER'!$M$95:$M$107,"已集成")+COUNTIF('总资产 MASTER'!$M$95:$M$107,"已完成")</x:f>
        <x:v>1</x:v>
      </x:c>
      <x:c r="J9" s="434" t="n">
        <x:f>IFERROR(I9/F9,0)</x:f>
        <x:v>0.07692307692307693</x:v>
      </x:c>
      <x:c r="K9" s="435" t="n">
        <x:f>SUM('总资产 MASTER'!$O$95:$O$107)</x:f>
        <x:v>38.5</x:v>
      </x:c>
      <x:c r="L9" s="432" t="str">
        <x:v>背景 + 车厢 + 前景 + 机制状态 + NPC + 氛围 + 完成演出</x:v>
      </x:c>
    </x:row>
    <x:row r="10" ht="78" customHeight="1">
      <x:c r="A10" s="431" t="n">
        <x:v>6</x:v>
      </x:c>
      <x:c r="B10" s="432" t="str">
        <x:v>第六节车厢｜中世纪 / 人力机械</x:v>
      </x:c>
      <x:c r="C10" s="432" t="str">
        <x:v>没有先进机器，人仍能用知识、协作和记录对抗遗忘。</x:v>
      </x:c>
      <x:c r="D10" s="432" t="str">
        <x:v>与工匠轮换操作绞盘、配重和齿轮，让机关保持运动</x:v>
      </x:c>
      <x:c r="E10" s="432" t="str">
        <x:v>玫瑰窗几何中隐藏 AI 同心圆</x:v>
      </x:c>
      <x:c r="F10" s="433" t="n">
        <x:f>COUNTA('总资产 MASTER'!$A$108:$A$120)</x:f>
        <x:v>13</x:v>
      </x:c>
      <x:c r="G10" s="433" t="n">
        <x:f>SUM('总资产 MASTER'!$N$108:$N$120)</x:f>
        <x:v>51</x:v>
      </x:c>
      <x:c r="H10" s="433" t="n">
        <x:f>COUNTIF('总资产 MASTER'!$K$108:$K$120,"P0")</x:f>
        <x:v>7</x:v>
      </x:c>
      <x:c r="I10" s="433" t="n">
        <x:f>COUNTIF('总资产 MASTER'!$M$108:$M$120,"已集成")+COUNTIF('总资产 MASTER'!$M$108:$M$120,"已完成")</x:f>
        <x:v>1</x:v>
      </x:c>
      <x:c r="J10" s="434" t="n">
        <x:f>IFERROR(I10/F10,0)</x:f>
        <x:v>0.07692307692307693</x:v>
      </x:c>
      <x:c r="K10" s="435" t="n">
        <x:f>SUM('总资产 MASTER'!$O$108:$O$120)</x:f>
        <x:v>38.5</x:v>
      </x:c>
      <x:c r="L10" s="432" t="str">
        <x:v>背景 + 车厢 + 前景 + 机制状态 + NPC + 氛围 + 完成演出</x:v>
      </x:c>
    </x:row>
    <x:row r="11" ht="78" customHeight="1">
      <x:c r="A11" s="431" t="n">
        <x:v>7</x:v>
      </x:c>
      <x:c r="B11" s="432" t="str">
        <x:v>第七节车厢｜史前 / 生态沟通</x:v>
      </x:c>
      <x:c r="C11" s="432" t="str">
        <x:v>语言与技术出现前，合作和选择已经存在。</x:v>
      </x:c>
      <x:c r="D11" s="432" t="str">
        <x:v>模仿动物叫声、利用气味轨迹，引导生物而不是猎杀</x:v>
      </x:c>
      <x:c r="E11" s="432" t="str">
        <x:v>蛋壳和脚印排列成最原始的 AI 眼形</x:v>
      </x:c>
      <x:c r="F11" s="433" t="n">
        <x:f>COUNTA('总资产 MASTER'!$A$121:$A$133)</x:f>
        <x:v>13</x:v>
      </x:c>
      <x:c r="G11" s="433" t="n">
        <x:f>SUM('总资产 MASTER'!$N$121:$N$133)</x:f>
        <x:v>51</x:v>
      </x:c>
      <x:c r="H11" s="433" t="n">
        <x:f>COUNTIF('总资产 MASTER'!$K$121:$K$133,"P0")</x:f>
        <x:v>7</x:v>
      </x:c>
      <x:c r="I11" s="433" t="n">
        <x:f>COUNTIF('总资产 MASTER'!$M$121:$M$133,"已集成")+COUNTIF('总资产 MASTER'!$M$121:$M$133,"已完成")</x:f>
        <x:v>1</x:v>
      </x:c>
      <x:c r="J11" s="434" t="n">
        <x:f>IFERROR(I11/F11,0)</x:f>
        <x:v>0.07692307692307693</x:v>
      </x:c>
      <x:c r="K11" s="435" t="n">
        <x:f>SUM('总资产 MASTER'!$O$121:$O$133)</x:f>
        <x:v>38.5</x:v>
      </x:c>
      <x:c r="L11" s="432" t="str">
        <x:v>背景 + 车厢 + 前景 + 机制状态 + NPC + 氛围 + 完成演出</x:v>
      </x:c>
    </x:row>
    <x:row r="12" ht="78" customHeight="1">
      <x:c r="A12" s="431" t="n">
        <x:v>8</x:v>
      </x:c>
      <x:c r="B12" s="432" t="str">
        <x:v>第八节车厢｜自然回收 / 生长生态</x:v>
      </x:c>
      <x:c r="C12" s="432" t="str">
        <x:v>人类消失后世界仍会继续；控制并不等于照顾。</x:v>
      </x:c>
      <x:c r="D12" s="432" t="str">
        <x:v>控制光、水和菌丝，让植物生长成路并净化污染</x:v>
      </x:c>
      <x:c r="E12" s="432" t="str">
        <x:v>菌丝网络与 AI 神经网络视觉重叠</x:v>
      </x:c>
      <x:c r="F12" s="433" t="n">
        <x:f>COUNTA('总资产 MASTER'!$A$134:$A$146)</x:f>
        <x:v>13</x:v>
      </x:c>
      <x:c r="G12" s="433" t="n">
        <x:f>SUM('总资产 MASTER'!$N$134:$N$146)</x:f>
        <x:v>51</x:v>
      </x:c>
      <x:c r="H12" s="433" t="n">
        <x:f>COUNTIF('总资产 MASTER'!$K$134:$K$146,"P0")</x:f>
        <x:v>7</x:v>
      </x:c>
      <x:c r="I12" s="433" t="n">
        <x:f>COUNTIF('总资产 MASTER'!$M$134:$M$146,"已集成")+COUNTIF('总资产 MASTER'!$M$134:$M$146,"已完成")</x:f>
        <x:v>1</x:v>
      </x:c>
      <x:c r="J12" s="434" t="n">
        <x:f>IFERROR(I12/F12,0)</x:f>
        <x:v>0.07692307692307693</x:v>
      </x:c>
      <x:c r="K12" s="435" t="n">
        <x:f>SUM('总资产 MASTER'!$O$134:$O$146)</x:f>
        <x:v>38.5</x:v>
      </x:c>
      <x:c r="L12" s="432" t="str">
        <x:v>背景 + 车厢 + 前景 + 机制状态 + NPC + 氛围 + 完成演出</x:v>
      </x:c>
    </x:row>
    <x:row r="13" ht="78" customHeight="1">
      <x:c r="A13" s="431" t="n">
        <x:v>9</x:v>
      </x:c>
      <x:c r="B13" s="432" t="str">
        <x:v>第九节车厢｜记忆 / 过去的自己</x:v>
      </x:c>
      <x:c r="C13" s="432" t="str">
        <x:v>主角的记忆被系统剪辑；合作对象是被删掉的自己。</x:v>
      </x:c>
      <x:c r="D13" s="432" t="str">
        <x:v>录制一段行动，再与过去的自己同时完成双人机关</x:v>
      </x:c>
      <x:c r="E13" s="432" t="str">
        <x:v>家庭照片裂缝与列车路线图重合</x:v>
      </x:c>
      <x:c r="F13" s="433" t="n">
        <x:f>COUNTA('总资产 MASTER'!$A$147:$A$159)</x:f>
        <x:v>13</x:v>
      </x:c>
      <x:c r="G13" s="433" t="n">
        <x:f>SUM('总资产 MASTER'!$N$147:$N$159)</x:f>
        <x:v>51</x:v>
      </x:c>
      <x:c r="H13" s="433" t="n">
        <x:f>COUNTIF('总资产 MASTER'!$K$147:$K$159,"P0")</x:f>
        <x:v>7</x:v>
      </x:c>
      <x:c r="I13" s="433" t="n">
        <x:f>COUNTIF('总资产 MASTER'!$M$147:$M$159,"已集成")+COUNTIF('总资产 MASTER'!$M$147:$M$159,"已完成")</x:f>
        <x:v>1</x:v>
      </x:c>
      <x:c r="J13" s="434" t="n">
        <x:f>IFERROR(I13/F13,0)</x:f>
        <x:v>0.07692307692307693</x:v>
      </x:c>
      <x:c r="K13" s="435" t="n">
        <x:f>SUM('总资产 MASTER'!$O$147:$O$159)</x:f>
        <x:v>38.5</x:v>
      </x:c>
      <x:c r="L13" s="432" t="str">
        <x:v>背景 + 车厢 + 前景 + 机制状态 + NPC + 氛围 + 完成演出</x:v>
      </x:c>
    </x:row>
    <x:row r="14" ht="78" customHeight="1">
      <x:c r="A14" s="436" t="n">
        <x:v>10</x:v>
      </x:c>
      <x:c r="B14" s="437" t="str">
        <x:v>第十节车厢｜最终选择 / 系统核心</x:v>
      </x:c>
      <x:c r="C14" s="437" t="str">
        <x:v>不是简单打 Boss：玩家证明自己学会了如何合作、承担后果和定义自由。</x:v>
      </x:c>
      <x:c r="D14" s="437" t="str">
        <x:v>重混前九关机制，重写 AI 规则并决定乘客命运</x:v>
      </x:c>
      <x:c r="E14" s="437" t="str">
        <x:v>所有 AI 母题拼成核心眼，再被玩家改写</x:v>
      </x:c>
      <x:c r="F14" s="438" t="n">
        <x:f>COUNTA('总资产 MASTER'!$A$160:$A$172)</x:f>
        <x:v>13</x:v>
      </x:c>
      <x:c r="G14" s="438" t="n">
        <x:f>SUM('总资产 MASTER'!$N$160:$N$172)</x:f>
        <x:v>51</x:v>
      </x:c>
      <x:c r="H14" s="438" t="n">
        <x:f>COUNTIF('总资产 MASTER'!$K$160:$K$172,"P0")</x:f>
        <x:v>7</x:v>
      </x:c>
      <x:c r="I14" s="438" t="n">
        <x:f>COUNTIF('总资产 MASTER'!$M$160:$M$172,"已集成")+COUNTIF('总资产 MASTER'!$M$160:$M$172,"已完成")</x:f>
        <x:v>1</x:v>
      </x:c>
      <x:c r="J14" s="439" t="n">
        <x:f>IFERROR(I14/F14,0)</x:f>
        <x:v>0.07692307692307693</x:v>
      </x:c>
      <x:c r="K14" s="440" t="n">
        <x:f>SUM('总资产 MASTER'!$O$160:$O$172)</x:f>
        <x:v>38.5</x:v>
      </x:c>
      <x:c r="L14" s="437" t="str">
        <x:v>背景 + 车厢 + 前景 + 机制状态 + NPC + 氛围 + 完成演出</x:v>
      </x:c>
    </x:row>
  </x:sheetData>
  <x:mergeCells>
    <x:mergeCell ref="A1:L2"/>
  </x:mergeCells>
  <x:conditionalFormatting sqref="J5:J14">
    <x:cfRule type="dataBar" priority="1">
      <x:dataBar>
        <x:cfvo type="min"/>
        <x:cfvo type="max"/>
        <x:color rgb="FF7BC89C"/>
      </x:dataBar>
      <x:extLst>
        <x:ext xmlns:x14="http://schemas.microsoft.com/office/spreadsheetml/2009/9/main" uri="{B025F937-C7B1-47D3-B67F-A62EFF666E3E}">
          <x14:id>{0CC910B6-BC17-E7E9-7AED-DD39ADC32D09}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CC910B6-BC17-E7E9-7AED-DD39ADC32D09}">
            <x14:dataBar gradient="1">
              <x14:cfvo type="min"/>
              <x14:cfvo type="max"/>
              <x14:fillColor rgb="FF7BC89C"/>
            </x14:dataBar>
          </x14:cfRule>
          <xm:sqref>J5:J14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26" hidden="0" customWidth="1"/>
    <x:col min="10" max="10" width="44" hidden="0" customWidth="1"/>
  </x:cols>
  <x:sheetData>
    <x:row r="1">
      <x:c r="A1" s="424" t="str">
        <x:v>色彩脚本 / 从“普通”到“规则重写”</x:v>
      </x:c>
      <x:c r="B1" s="424"/>
      <x:c r="C1" s="424"/>
      <x:c r="D1" s="424"/>
      <x:c r="E1" s="424"/>
      <x:c r="F1" s="424"/>
      <x:c r="G1" s="424"/>
      <x:c r="H1" s="424"/>
      <x:c r="I1" s="424"/>
      <x:c r="J1" s="424"/>
    </x:row>
    <x:row r="2">
      <x:c r="A2" s="424"/>
      <x:c r="B2" s="424"/>
      <x:c r="C2" s="424"/>
      <x:c r="D2" s="424"/>
      <x:c r="E2" s="424"/>
      <x:c r="F2" s="424"/>
      <x:c r="G2" s="424"/>
      <x:c r="H2" s="424"/>
      <x:c r="I2" s="424"/>
      <x:c r="J2" s="424"/>
    </x:row>
    <x:row r="3">
      <x:c r="A3" s="396"/>
      <x:c r="B3" s="396"/>
      <x:c r="C3" s="396"/>
      <x:c r="D3" s="396"/>
      <x:c r="E3" s="396"/>
      <x:c r="F3" s="396"/>
      <x:c r="G3" s="396"/>
      <x:c r="H3" s="396"/>
      <x:c r="I3" s="396"/>
      <x:c r="J3" s="396"/>
    </x:row>
    <x:row r="4">
      <x:c r="A4" s="425" t="str">
        <x:v>关卡</x:v>
      </x:c>
      <x:c r="B4" s="425" t="str">
        <x:v>车厢</x:v>
      </x:c>
      <x:c r="C4" s="425" t="str">
        <x:v>情绪</x:v>
      </x:c>
      <x:c r="D4" s="425" t="str">
        <x:v>暗部</x:v>
      </x:c>
      <x:c r="E4" s="425" t="str">
        <x:v>结构色</x:v>
      </x:c>
      <x:c r="F4" s="425" t="str">
        <x:v>主光</x:v>
      </x:c>
      <x:c r="G4" s="425" t="str">
        <x:v>焦点色</x:v>
      </x:c>
      <x:c r="H4" s="425" t="str">
        <x:v>AI 母题可见度</x:v>
      </x:c>
      <x:c r="I4" s="425" t="str">
        <x:v>主要材质</x:v>
      </x:c>
      <x:c r="J4" s="425" t="str">
        <x:v>光线变化 / 完成态</x:v>
      </x:c>
    </x:row>
    <x:row r="5" ht="58" customHeight="1">
      <x:c r="A5" s="441" t="n">
        <x:v>1</x:v>
      </x:c>
      <x:c r="B5" s="442" t="str">
        <x:v>第一节车厢｜正常列车 / 教程</x:v>
      </x:c>
      <x:c r="C5" s="442" t="str">
        <x:v>可信 / 微妙不安</x:v>
      </x:c>
      <x:c r="D5" s="443" t="str">
        <x:v>#222B34</x:v>
      </x:c>
      <x:c r="E5" s="444" t="str">
        <x:v>#596B78</x:v>
      </x:c>
      <x:c r="F5" s="445" t="str">
        <x:v>#E6D3A2</x:v>
      </x:c>
      <x:c r="G5" s="446" t="str">
        <x:v>#F3B85B</x:v>
      </x:c>
      <x:c r="H5" s="442" t="str">
        <x:v>10%</x:v>
      </x:c>
      <x:c r="I5" s="442" t="str">
        <x:v>浅灰金属、布座椅</x:v>
      </x:c>
      <x:c r="J5" s="442" t="str">
        <x:v>冷白灯恢复，但乘客同步转头</x:v>
      </x:c>
    </x:row>
    <x:row r="6" ht="58" customHeight="1">
      <x:c r="A6" s="447" t="n">
        <x:v>2</x:v>
      </x:c>
      <x:c r="B6" s="448" t="str">
        <x:v>第二节车厢｜AI 灾变 / 伪未来</x:v>
      </x:c>
      <x:c r="C6" s="448" t="str">
        <x:v>恐惧 / 被监控</x:v>
      </x:c>
      <x:c r="D6" s="449" t="str">
        <x:v>#101820</x:v>
      </x:c>
      <x:c r="E6" s="450" t="str">
        <x:v>#334959</x:v>
      </x:c>
      <x:c r="F6" s="451" t="str">
        <x:v>#7FE0D4</x:v>
      </x:c>
      <x:c r="G6" s="452" t="str">
        <x:v>#F05B61</x:v>
      </x:c>
      <x:c r="H6" s="448" t="str">
        <x:v>20%</x:v>
      </x:c>
      <x:c r="I6" s="448" t="str">
        <x:v>烧蚀金属、屏幕玻璃</x:v>
      </x:c>
      <x:c r="J6" s="448" t="str">
        <x:v>警报红被解除，青色机器人灯转为伙伴色</x:v>
      </x:c>
    </x:row>
    <x:row r="7" ht="58" customHeight="1">
      <x:c r="A7" s="447" t="n">
        <x:v>3</x:v>
      </x:c>
      <x:c r="B7" s="448" t="str">
        <x:v>第三节车厢｜当代城市 / 能量分配</x:v>
      </x:c>
      <x:c r="C7" s="448" t="str">
        <x:v>熟悉 / 道德取舍</x:v>
      </x:c>
      <x:c r="D7" s="453" t="str">
        <x:v>#25364A</x:v>
      </x:c>
      <x:c r="E7" s="454" t="str">
        <x:v>#6F8395</x:v>
      </x:c>
      <x:c r="F7" s="455" t="str">
        <x:v>#FFD27A</x:v>
      </x:c>
      <x:c r="G7" s="456" t="str">
        <x:v>#FF7A68</x:v>
      </x:c>
      <x:c r="H7" s="448" t="str">
        <x:v>30%</x:v>
      </x:c>
      <x:c r="I7" s="448" t="str">
        <x:v>商业塑料、LED、玻璃</x:v>
      </x:c>
      <x:c r="J7" s="448" t="str">
        <x:v>被牺牲的设施保持熄灭，被救设备保留暖光</x:v>
      </x:c>
    </x:row>
    <x:row r="8" ht="58" customHeight="1">
      <x:c r="A8" s="447" t="n">
        <x:v>4</x:v>
      </x:c>
      <x:c r="B8" s="448" t="str">
        <x:v>第四节车厢｜复古赛博 / 频率切换</x:v>
      </x:c>
      <x:c r="C8" s="448" t="str">
        <x:v>诱惑 / 信息过载</x:v>
      </x:c>
      <x:c r="D8" s="457" t="str">
        <x:v>#130D26</x:v>
      </x:c>
      <x:c r="E8" s="458" t="str">
        <x:v>#382A57</x:v>
      </x:c>
      <x:c r="F8" s="459" t="str">
        <x:v>#3DE1D1</x:v>
      </x:c>
      <x:c r="G8" s="460" t="str">
        <x:v>#F23DAA</x:v>
      </x:c>
      <x:c r="H8" s="448" t="str">
        <x:v>40%</x:v>
      </x:c>
      <x:c r="I8" s="448" t="str">
        <x:v>CRT、粗电缆、雨湿金属</x:v>
      </x:c>
      <x:c r="J8" s="448" t="str">
        <x:v>两个频道短暂叠合成真实白光</x:v>
      </x:c>
    </x:row>
    <x:row r="9" ht="58" customHeight="1">
      <x:c r="A9" s="447" t="n">
        <x:v>5</x:v>
      </x:c>
      <x:c r="B9" s="448" t="str">
        <x:v>第五节车厢｜战争 / 声音与信号</x:v>
      </x:c>
      <x:c r="C9" s="448" t="str">
        <x:v>压迫 / 人命取舍</x:v>
      </x:c>
      <x:c r="D9" s="461" t="str">
        <x:v>#20251F</x:v>
      </x:c>
      <x:c r="E9" s="462" t="str">
        <x:v>#5A604C</x:v>
      </x:c>
      <x:c r="F9" s="463" t="str">
        <x:v>#C9B77B</x:v>
      </x:c>
      <x:c r="G9" s="464" t="str">
        <x:v>#D85E4B</x:v>
      </x:c>
      <x:c r="H9" s="448" t="str">
        <x:v>50%</x:v>
      </x:c>
      <x:c r="I9" s="448" t="str">
        <x:v>木板、沙袋、旧铜</x:v>
      </x:c>
      <x:c r="J9" s="448" t="str">
        <x:v>炮火停止，撤离灯在远处亮起</x:v>
      </x:c>
    </x:row>
    <x:row r="10" ht="58" customHeight="1">
      <x:c r="A10" s="447" t="n">
        <x:v>6</x:v>
      </x:c>
      <x:c r="B10" s="448" t="str">
        <x:v>第六节车厢｜中世纪 / 人力机械</x:v>
      </x:c>
      <x:c r="C10" s="448" t="str">
        <x:v>坚韧 / 协作</x:v>
      </x:c>
      <x:c r="D10" s="465" t="str">
        <x:v>#211B17</x:v>
      </x:c>
      <x:c r="E10" s="466" t="str">
        <x:v>#5B4635</x:v>
      </x:c>
      <x:c r="F10" s="467" t="str">
        <x:v>#D2A65A</x:v>
      </x:c>
      <x:c r="G10" s="468" t="str">
        <x:v>#7EB08A</x:v>
      </x:c>
      <x:c r="H10" s="448" t="str">
        <x:v>60%</x:v>
      </x:c>
      <x:c r="I10" s="448" t="str">
        <x:v>木梁、铁件、挂毯</x:v>
      </x:c>
      <x:c r="J10" s="448" t="str">
        <x:v>烛火与天光同时点亮齿轮</x:v>
      </x:c>
    </x:row>
    <x:row r="11" ht="58" customHeight="1">
      <x:c r="A11" s="447" t="n">
        <x:v>7</x:v>
      </x:c>
      <x:c r="B11" s="448" t="str">
        <x:v>第七节车厢｜史前 / 生态沟通</x:v>
      </x:c>
      <x:c r="C11" s="448" t="str">
        <x:v>好奇 / 互相信任</x:v>
      </x:c>
      <x:c r="D11" s="469" t="str">
        <x:v>#18251D</x:v>
      </x:c>
      <x:c r="E11" s="470" t="str">
        <x:v>#466444</x:v>
      </x:c>
      <x:c r="F11" s="471" t="str">
        <x:v>#E3C26B</x:v>
      </x:c>
      <x:c r="G11" s="472" t="str">
        <x:v>#E9794B</x:v>
      </x:c>
      <x:c r="H11" s="448" t="str">
        <x:v>70%</x:v>
      </x:c>
      <x:c r="I11" s="448" t="str">
        <x:v>泥土、蕨类、骨骼</x:v>
      </x:c>
      <x:c r="J11" s="448" t="str">
        <x:v>惊慌红消退，巢穴出现暖金色</x:v>
      </x:c>
    </x:row>
    <x:row r="12" ht="58" customHeight="1">
      <x:c r="A12" s="447" t="n">
        <x:v>8</x:v>
      </x:c>
      <x:c r="B12" s="448" t="str">
        <x:v>第八节车厢｜自然回收 / 生长生态</x:v>
      </x:c>
      <x:c r="C12" s="448" t="str">
        <x:v>宁静 / 生态责任</x:v>
      </x:c>
      <x:c r="D12" s="473" t="str">
        <x:v>#14211F</x:v>
      </x:c>
      <x:c r="E12" s="474" t="str">
        <x:v>#345F4A</x:v>
      </x:c>
      <x:c r="F12" s="475" t="str">
        <x:v>#7FCB8A</x:v>
      </x:c>
      <x:c r="G12" s="476" t="str">
        <x:v>#F2D36B</x:v>
      </x:c>
      <x:c r="H12" s="448" t="str">
        <x:v>80%</x:v>
      </x:c>
      <x:c r="I12" s="448" t="str">
        <x:v>锈铁、积水、菌丝</x:v>
      </x:c>
      <x:c r="J12" s="448" t="str">
        <x:v>毒雾退去，树冠透入绿色阳光</x:v>
      </x:c>
    </x:row>
    <x:row r="13" ht="58" customHeight="1">
      <x:c r="A13" s="447" t="n">
        <x:v>9</x:v>
      </x:c>
      <x:c r="B13" s="448" t="str">
        <x:v>第九节车厢｜记忆 / 过去的自己</x:v>
      </x:c>
      <x:c r="C13" s="448" t="str">
        <x:v>亲密 / 自我怀疑</x:v>
      </x:c>
      <x:c r="D13" s="477" t="str">
        <x:v>#191A2B</x:v>
      </x:c>
      <x:c r="E13" s="478" t="str">
        <x:v>#514865</x:v>
      </x:c>
      <x:c r="F13" s="479" t="str">
        <x:v>#B8A7D9</x:v>
      </x:c>
      <x:c r="G13" s="480" t="str">
        <x:v>#F1A6A0</x:v>
      </x:c>
      <x:c r="H13" s="448" t="str">
        <x:v>90%</x:v>
      </x:c>
      <x:c r="I13" s="448" t="str">
        <x:v>相纸、床帘、旧塑料</x:v>
      </x:c>
      <x:c r="J13" s="448" t="str">
        <x:v>三层记忆色彩对齐为中性光</x:v>
      </x:c>
    </x:row>
    <x:row r="14" ht="58" customHeight="1">
      <x:c r="A14" s="481" t="n">
        <x:v>10</x:v>
      </x:c>
      <x:c r="B14" s="482" t="str">
        <x:v>第十节车厢｜最终选择 / 系统核心</x:v>
      </x:c>
      <x:c r="C14" s="482" t="str">
        <x:v>清醒 / 承担后果</x:v>
      </x:c>
      <x:c r="D14" s="483" t="str">
        <x:v>#0D1018</x:v>
      </x:c>
      <x:c r="E14" s="484" t="str">
        <x:v>#313D55</x:v>
      </x:c>
      <x:c r="F14" s="485" t="str">
        <x:v>#E6E8F2</x:v>
      </x:c>
      <x:c r="G14" s="486" t="str">
        <x:v>#F0C75E</x:v>
      </x:c>
      <x:c r="H14" s="482" t="str">
        <x:v>100%</x:v>
      </x:c>
      <x:c r="I14" s="482" t="str">
        <x:v>裸露线路、悬浮档案层</x:v>
      </x:c>
      <x:c r="J14" s="482" t="str">
        <x:v>十关色彩汇聚后由选择决定最终主色</x:v>
      </x:c>
    </x:row>
  </x:sheetData>
  <x:mergeCells>
    <x:mergeCell ref="A1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48" hidden="0" customWidth="1"/>
    <x:col min="4" max="4" width="30" hidden="0" customWidth="1"/>
    <x:col min="5" max="5" width="48" hidden="0" customWidth="1"/>
    <x:col min="6" max="6" width="28" hidden="0" customWidth="1"/>
    <x:col min="7" max="7" width="14" hidden="0" customWidth="1"/>
    <x:col min="8" max="8" width="16" hidden="0" customWidth="1"/>
  </x:cols>
  <x:sheetData>
    <x:row r="1">
      <x:c r="A1" s="424" t="str">
        <x:v>美术里程碑 / 能玩 → 完整 → 饱满</x:v>
      </x:c>
      <x:c r="B1" s="424"/>
      <x:c r="C1" s="424"/>
      <x:c r="D1" s="424"/>
      <x:c r="E1" s="424"/>
      <x:c r="F1" s="424"/>
      <x:c r="G1" s="424"/>
      <x:c r="H1" s="424"/>
    </x:row>
    <x:row r="2">
      <x:c r="A2" s="424"/>
      <x:c r="B2" s="424"/>
      <x:c r="C2" s="424"/>
      <x:c r="D2" s="424"/>
      <x:c r="E2" s="424"/>
      <x:c r="F2" s="424"/>
      <x:c r="G2" s="424"/>
      <x:c r="H2" s="424"/>
    </x:row>
    <x:row r="3">
      <x:c r="A3" s="396"/>
      <x:c r="B3" s="396"/>
      <x:c r="C3" s="396"/>
      <x:c r="D3" s="396"/>
      <x:c r="E3" s="396"/>
      <x:c r="F3" s="396"/>
      <x:c r="G3" s="396"/>
      <x:c r="H3" s="396"/>
    </x:row>
    <x:row r="4">
      <x:c r="A4" s="425" t="str">
        <x:v>里程碑</x:v>
      </x:c>
      <x:c r="B4" s="425" t="str">
        <x:v>目标</x:v>
      </x:c>
      <x:c r="C4" s="425" t="str">
        <x:v>必须交付</x:v>
      </x:c>
      <x:c r="D4" s="425" t="str">
        <x:v>进入条件</x:v>
      </x:c>
      <x:c r="E4" s="425" t="str">
        <x:v>退出 / 验收标准</x:v>
      </x:c>
      <x:c r="F4" s="425" t="str">
        <x:v>建议顺序</x:v>
      </x:c>
      <x:c r="G4" s="425" t="str">
        <x:v>状态</x:v>
      </x:c>
      <x:c r="H4" s="425" t="str">
        <x:v>目标日期</x:v>
      </x:c>
    </x:row>
    <x:row r="5" ht="90" customHeight="1">
      <x:c r="A5" s="487" t="str">
        <x:v>M0 视觉基础</x:v>
      </x:c>
      <x:c r="B5" s="427" t="str">
        <x:v>锁定一列火车、十个时代、同一 AI 母题</x:v>
      </x:c>
      <x:c r="C5" s="427" t="str">
        <x:v>Style Bible、色彩脚本、车厢剖面、主角/列车长方向、层级与性能规范</x:v>
      </x:c>
      <x:c r="D5" s="427" t="str">
        <x:v>核心叙事与十关顺序确认</x:v>
      </x:c>
      <x:c r="E5" s="427" t="str">
        <x:v>团队能用同一套规则独立制作素材，不再每关换一种画法</x:v>
      </x:c>
      <x:c r="F5" s="427" t="str">
        <x:v>先概念，后成品</x:v>
      </x:c>
      <x:c r="G5" s="427" t="str">
        <x:v>待制作</x:v>
      </x:c>
      <x:c r="H5" s="427" t="str"/>
    </x:row>
    <x:row r="6" ht="90" customHeight="1">
      <x:c r="A6" s="488" t="str">
        <x:v>M1 垂直切片</x:v>
      </x:c>
      <x:c r="B6" s="432" t="str">
        <x:v>让关卡 1–2 看起来像最终游戏并可课堂试玩</x:v>
      </x:c>
      <x:c r="C6" s="432" t="str">
        <x:v>最终主角基础动作、车窗/车厢骨架、关卡 1–2 皮肤、两套机制道具、HUD/对话/交互提示、门转场</x:v>
      </x:c>
      <x:c r="D6" s="432" t="str">
        <x:v>M0 通过</x:v>
      </x:c>
      <x:c r="E6" s="432" t="str">
        <x:v>截图不再像全屏背景 + 占位几何；两关机制无文字也能读懂</x:v>
      </x:c>
      <x:c r="F6" s="432" t="str">
        <x:v>关卡 1 → 共享骨架 → 关卡 2</x:v>
      </x:c>
      <x:c r="G6" s="432" t="str">
        <x:v>待制作</x:v>
      </x:c>
      <x:c r="H6" s="432" t="str"/>
    </x:row>
    <x:row r="7" ht="90" customHeight="1">
      <x:c r="A7" s="488" t="str">
        <x:v>M2 共享系统</x:v>
      </x:c>
      <x:c r="B7" s="432" t="str">
        <x:v>避免后八关重复造轮子</x:v>
      </x:c>
      <x:c r="C7" s="432" t="str">
        <x:v>座椅/吊环/门/前景模块、乘客体型库、列车长、全局 VFX、UI、章节卡、动画接口</x:v>
      </x:c>
      <x:c r="D7" s="432" t="str">
        <x:v>M1 技术和视觉验证</x:v>
      </x:c>
      <x:c r="E7" s="432" t="str">
        <x:v>任一新关可用共享包在 1 天内搭出灰盒美术</x:v>
      </x:c>
      <x:c r="F7" s="432" t="str">
        <x:v>模块优先于单关装饰</x:v>
      </x:c>
      <x:c r="G7" s="432" t="str">
        <x:v>待制作</x:v>
      </x:c>
      <x:c r="H7" s="432" t="str"/>
    </x:row>
    <x:row r="8" ht="90" customHeight="1">
      <x:c r="A8" s="488" t="str">
        <x:v>M3 全内容</x:v>
      </x:c>
      <x:c r="B8" s="432" t="str">
        <x:v>十关从头到尾都有独特机制和叙事角色</x:v>
      </x:c>
      <x:c r="C8" s="432" t="str">
        <x:v>每关车厢皮肤、主机关状态、NPC、危险、真相碎片、教程图标、转场；最终选择可运行</x:v>
      </x:c>
      <x:c r="D8" s="432" t="str">
        <x:v>M2 共享包稳定</x:v>
      </x:c>
      <x:c r="E8" s="432" t="str">
        <x:v>十关无纯占位资产；每关有一个可截图的机制时刻</x:v>
      </x:c>
      <x:c r="F8" s="432" t="str">
        <x:v>按 3–4 / 5–7 / 8–10 三批</x:v>
      </x:c>
      <x:c r="G8" s="432" t="str">
        <x:v>待制作</x:v>
      </x:c>
      <x:c r="H8" s="432" t="str"/>
    </x:row>
    <x:row r="9" ht="90" customHeight="1">
      <x:c r="A9" s="489" t="str">
        <x:v>M4 抛光</x:v>
      </x:c>
      <x:c r="B9" s="437" t="str">
        <x:v>把“能玩”提升到“美且饱满”</x:v>
      </x:c>
      <x:c r="C9" s="437" t="str">
        <x:v>氛围循环、前景密度、完成演出、三结局、群像、credits、Key Art、最终截图</x:v>
      </x:c>
      <x:c r="D9" s="437" t="str">
        <x:v>M3 全流程锁定</x:v>
      </x:c>
      <x:c r="E9" s="437" t="str">
        <x:v>无视觉跳变、无关键遮挡、性能稳定、三结局演出完整</x:v>
      </x:c>
      <x:c r="F9" s="437" t="str">
        <x:v>先读图和反馈，后装饰</x:v>
      </x:c>
      <x:c r="G9" s="437" t="str">
        <x:v>待制作</x:v>
      </x:c>
      <x:c r="H9" s="437" t="str"/>
    </x:row>
  </x:sheetData>
  <x:mergeCells>
    <x:mergeCell ref="A1:H2"/>
  </x:mergeCells>
  <x:dataValidations count="1">
    <x:dataValidation type="list" sqref="G5:G9">
      <x:formula1>"待制作,制作中,待审核,已完成,暂缓"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38" hidden="0" customWidth="1"/>
    <x:col min="4" max="4" width="38" hidden="0" customWidth="1"/>
    <x:col min="5" max="5" width="22" hidden="0" customWidth="1"/>
    <x:col min="6" max="6" width="30" hidden="0" customWidth="1"/>
  </x:cols>
  <x:sheetData>
    <x:row r="1">
      <x:c r="A1" s="424" t="str">
        <x:v>交付规格、目录与命名 / ART HANDOFF RULES</x:v>
      </x:c>
      <x:c r="B1" s="424"/>
      <x:c r="C1" s="424"/>
      <x:c r="D1" s="424"/>
      <x:c r="E1" s="424"/>
      <x:c r="F1" s="424"/>
    </x:row>
    <x:row r="2">
      <x:c r="A2" s="424"/>
      <x:c r="B2" s="424"/>
      <x:c r="C2" s="424"/>
      <x:c r="D2" s="424"/>
      <x:c r="E2" s="424"/>
      <x:c r="F2" s="424"/>
    </x:row>
    <x:row r="3">
      <x:c r="A3" s="396"/>
      <x:c r="B3" s="396"/>
      <x:c r="C3" s="396"/>
      <x:c r="D3" s="396"/>
      <x:c r="E3" s="396"/>
      <x:c r="F3" s="396"/>
    </x:row>
    <x:row r="4">
      <x:c r="A4" s="490" t="str">
        <x:v>主题</x:v>
      </x:c>
      <x:c r="B4" s="490" t="str">
        <x:v>规则</x:v>
      </x:c>
      <x:c r="C4" s="490" t="str">
        <x:v>示例</x:v>
      </x:c>
      <x:c r="D4" s="490" t="str">
        <x:v>为什么</x:v>
      </x:c>
      <x:c r="E4" s="490" t="str">
        <x:v>负责人检查</x:v>
      </x:c>
      <x:c r="F4" s="490" t="str">
        <x:v>验收</x:v>
      </x:c>
    </x:row>
    <x:row r="5" ht="62" customHeight="1">
      <x:c r="A5" s="491" t="str">
        <x:v>目录</x:v>
      </x:c>
      <x:c r="B5" s="427" t="str">
        <x:v>源文件与运行时文件分开；源文件不直接进入游戏包</x:v>
      </x:c>
      <x:c r="C5" s="427" t="str">
        <x:v>art_source/car_04/... → src/assets/generated/...</x:v>
      </x:c>
      <x:c r="D5" s="427" t="str">
        <x:v>防止 PSD/超大 PNG 进入网页构建</x:v>
      </x:c>
      <x:c r="E5" s="427" t="str">
        <x:v>技术美术</x:v>
      </x:c>
      <x:c r="F5" s="427" t="str">
        <x:v>构建体积无异常</x:v>
      </x:c>
    </x:row>
    <x:row r="6" ht="62" customHeight="1">
      <x:c r="A6" s="492" t="str">
        <x:v>命名</x:v>
      </x:c>
      <x:c r="B6" s="432" t="str">
        <x:v>car##_category_asset_variant_state_v###</x:v>
      </x:c>
      <x:c r="C6" s="432" t="str">
        <x:v>car04_prop_radio_channelA_active_v003.png</x:v>
      </x:c>
      <x:c r="D6" s="432" t="str">
        <x:v>可搜索、可批量替换、版本明确</x:v>
      </x:c>
      <x:c r="E6" s="432" t="str">
        <x:v>资产作者</x:v>
      </x:c>
      <x:c r="F6" s="432" t="str">
        <x:v>无空格、无 final_final</x:v>
      </x:c>
    </x:row>
    <x:row r="7" ht="62" customHeight="1">
      <x:c r="A7" s="492" t="str">
        <x:v>画布</x:v>
      </x:c>
      <x:c r="B7" s="432" t="str">
        <x:v>当前游戏视口 960×600；关键元素放在 16:10 安全区</x:v>
      </x:c>
      <x:c r="C7" s="432" t="str">
        <x:v>交互物在 960×600 截图中完整可见</x:v>
      </x:c>
      <x:c r="D7" s="432" t="str">
        <x:v>避免宽屏/缩放时裁掉提示</x:v>
      </x:c>
      <x:c r="E7" s="432" t="str">
        <x:v>关卡美术</x:v>
      </x:c>
      <x:c r="F7" s="432" t="str">
        <x:v>三种窗口宽度截图通过</x:v>
      </x:c>
    </x:row>
    <x:row r="8" ht="62" customHeight="1">
      <x:c r="A8" s="492" t="str">
        <x:v>背景</x:v>
      </x:c>
      <x:c r="B8" s="432" t="str">
        <x:v>保留现有全景源图；运行时由脚本切为 ≤4096px JPG</x:v>
      </x:c>
      <x:c r="C8" s="432" t="str">
        <x:v>world_07_memory_panorama_fullres.png</x:v>
      </x:c>
      <x:c r="D8" s="432" t="str">
        <x:v>已验证的轻量加载管线</x:v>
      </x:c>
      <x:c r="E8" s="432" t="str">
        <x:v>技术美术</x:v>
      </x:c>
      <x:c r="F8" s="432" t="str">
        <x:v>assets:check 通过</x:v>
      </x:c>
    </x:row>
    <x:row r="9" ht="62" customHeight="1">
      <x:c r="A9" s="492" t="str">
        <x:v>透明资产</x:v>
      </x:c>
      <x:c r="B9" s="432" t="str">
        <x:v>优先 WebP/PNG；透明边缘预乘检查；同类进 atlas</x:v>
      </x:c>
      <x:c r="C9" s="432" t="str">
        <x:v>player / props / VFX atlas</x:v>
      </x:c>
      <x:c r="D9" s="432" t="str">
        <x:v>减少请求并避免黑边</x:v>
      </x:c>
      <x:c r="E9" s="432" t="str">
        <x:v>技术美术</x:v>
      </x:c>
      <x:c r="F9" s="432" t="str">
        <x:v>深浅背景均无脏边</x:v>
      </x:c>
    </x:row>
    <x:row r="10" ht="62" customHeight="1">
      <x:c r="A10" s="492" t="str">
        <x:v>角色动画</x:v>
      </x:c>
      <x:c r="B10" s="432" t="str">
        <x:v>固定脚底锚点、碰撞盒和手部接触点；动作表随 atlas 交付</x:v>
      </x:c>
      <x:c r="C10" s="432" t="str">
        <x:v>idle_00–07, interact_00–11</x:v>
      </x:c>
      <x:c r="D10" s="432" t="str">
        <x:v>程序无需逐帧修正位置</x:v>
      </x:c>
      <x:c r="E10" s="432" t="str">
        <x:v>角色美术 + 程序</x:v>
      </x:c>
      <x:c r="F10" s="432" t="str">
        <x:v>连续播放无抖动</x:v>
      </x:c>
    </x:row>
    <x:row r="11" ht="62" customHeight="1">
      <x:c r="A11" s="492" t="str">
        <x:v>交互物</x:v>
      </x:c>
      <x:c r="B11" s="432" t="str">
        <x:v>至少四态：未解、进行中/部分、错误/危险、完成</x:v>
      </x:c>
      <x:c r="C11" s="432" t="str">
        <x:v>off / partial / error / solved</x:v>
      </x:c>
      <x:c r="D11" s="432" t="str">
        <x:v>不用文字也能理解因果</x:v>
      </x:c>
      <x:c r="E11" s="432" t="str">
        <x:v>关卡美术</x:v>
      </x:c>
      <x:c r="F11" s="432" t="str">
        <x:v>5 秒静音测试可读</x:v>
      </x:c>
    </x:row>
    <x:row r="12" ht="62" customHeight="1">
      <x:c r="A12" s="492" t="str">
        <x:v>前景遮挡</x:v>
      </x:c>
      <x:c r="B12" s="432" t="str">
        <x:v>单屏遮挡核心行动区 ≤20%；靠近玩家淡至 40%</x:v>
      </x:c>
      <x:c r="C12" s="432" t="str">
        <x:v>seat_fg_left, vine_fg_right</x:v>
      </x:c>
      <x:c r="D12" s="432" t="str">
        <x:v>既饱满又不影响玩法</x:v>
      </x:c>
      <x:c r="E12" s="432" t="str">
        <x:v>关卡美术 + 程序</x:v>
      </x:c>
      <x:c r="F12" s="432" t="str">
        <x:v>移动中玩家轮廓始终可见</x:v>
      </x:c>
    </x:row>
    <x:row r="13" ht="62" customHeight="1">
      <x:c r="A13" s="492" t="str">
        <x:v>色彩</x:v>
      </x:c>
      <x:c r="B13" s="432" t="str">
        <x:v>互动焦点不只靠颜色；同时使用形状、动画或明度</x:v>
      </x:c>
      <x:c r="C13" s="432" t="str">
        <x:v>红色错误 + 叉形脉冲</x:v>
      </x:c>
      <x:c r="D13" s="432" t="str">
        <x:v>辅助色觉差异玩家</x:v>
      </x:c>
      <x:c r="E13" s="432" t="str">
        <x:v>UI/VFX</x:v>
      </x:c>
      <x:c r="F13" s="432" t="str">
        <x:v>灰度截图仍可读</x:v>
      </x:c>
    </x:row>
    <x:row r="14" ht="62" customHeight="1">
      <x:c r="A14" s="492" t="str">
        <x:v>版本与审核</x:v>
      </x:c>
      <x:c r="B14" s="432" t="str">
        <x:v>先缩略图/灰阶 → 颜色稿 → 分层成品 → 游戏内截图审核</x:v>
      </x:c>
      <x:c r="C14" s="432" t="str">
        <x:v>thumb → color → final → ingame</x:v>
      </x:c>
      <x:c r="D14" s="432" t="str">
        <x:v>避免昂贵返工</x:v>
      </x:c>
      <x:c r="E14" s="432" t="str">
        <x:v>美术负责人</x:v>
      </x:c>
      <x:c r="F14" s="432" t="str">
        <x:v>表中状态更新并留截图</x:v>
      </x:c>
    </x:row>
    <x:row r="15" ht="62" customHeight="1">
      <x:c r="A15" s="493" t="str">
        <x:v>完成定义</x:v>
      </x:c>
      <x:c r="B15" s="437" t="str">
        <x:v>文件存在不算完成；必须在实机中尺寸、遮挡、状态、性能均通过</x:v>
      </x:c>
      <x:c r="C15" s="437" t="str">
        <x:v>已集成 ≠ 已完成</x:v>
      </x:c>
      <x:c r="D15" s="437" t="str">
        <x:v>让 production list 反映真实可用性</x:v>
      </x:c>
      <x:c r="E15" s="437" t="str">
        <x:v>制作人</x:v>
      </x:c>
      <x:c r="F15" s="437" t="str">
        <x:v>最终审核标记为已完成</x:v>
      </x:c>
    </x:row>
  </x:sheetData>
  <x:mergeCells>
    <x:mergeCell ref="A1:F2"/>
  </x:mergeCells>
  <x:pageMargins left="0.7" right="0.7" top="0.75" bottom="0.75" header="0.3" footer="0.3"/>
</x:worksheet>
</file>